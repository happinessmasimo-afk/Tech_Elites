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Nellie\Downloads\"/>
    </mc:Choice>
  </mc:AlternateContent>
  <xr:revisionPtr revIDLastSave="0" documentId="13_ncr:1_{9715F792-EF09-4C76-B006-A7443733EC25}" xr6:coauthVersionLast="36" xr6:coauthVersionMax="36" xr10:uidLastSave="{00000000-0000-0000-0000-000000000000}"/>
  <bookViews>
    <workbookView xWindow="0" yWindow="0" windowWidth="23040" windowHeight="8424" firstSheet="1" activeTab="4" xr2:uid="{00000000-000D-0000-FFFF-FFFF00000000}"/>
  </bookViews>
  <sheets>
    <sheet name="Instructions" sheetId="1" r:id="rId1"/>
    <sheet name="Project Overview" sheetId="2" r:id="rId2"/>
    <sheet name="Design Progress" sheetId="3" r:id="rId3"/>
    <sheet name="Individual Contributions" sheetId="4" r:id="rId4"/>
    <sheet name="Design Source Links" sheetId="5" r:id="rId5"/>
    <sheet name="Challenges &amp; Actions" sheetId="6" r:id="rId6"/>
    <sheet name="Phase Summary" sheetId="7" r:id="rId7"/>
    <sheet name="Group Reflection" sheetId="8" r:id="rId8"/>
  </sheets>
  <calcPr calcId="191029"/>
</workbook>
</file>

<file path=xl/calcChain.xml><?xml version="1.0" encoding="utf-8"?>
<calcChain xmlns="http://schemas.openxmlformats.org/spreadsheetml/2006/main">
  <c r="E8" i="2" l="1"/>
  <c r="E7" i="2"/>
  <c r="E6" i="2"/>
  <c r="E5" i="2"/>
  <c r="E4" i="2"/>
</calcChain>
</file>

<file path=xl/sharedStrings.xml><?xml version="1.0" encoding="utf-8"?>
<sst xmlns="http://schemas.openxmlformats.org/spreadsheetml/2006/main" count="521" uniqueCount="275">
  <si>
    <t>ITC327W Phase 2 Project Progress Tracker</t>
  </si>
  <si>
    <t>Use this workbook during Phase 2: System Architecture and Design. Update it throughout the phase and submit the same workbook with Assessment 2.</t>
  </si>
  <si>
    <t>Sheet</t>
  </si>
  <si>
    <t>Purpose</t>
  </si>
  <si>
    <t>What must be kept current</t>
  </si>
  <si>
    <t>Project Overview</t>
  </si>
  <si>
    <t>Group details and automatic progress summary</t>
  </si>
  <si>
    <t>Group information, GitHub link and current Phase 2 progress</t>
  </si>
  <si>
    <t>Design Progress</t>
  </si>
  <si>
    <t>Track each design artefact and supporting work</t>
  </si>
  <si>
    <t>Architecture, UML, ERD, mobile/web interfaces, SRS and project-management tasks</t>
  </si>
  <si>
    <t>Individual Contributions</t>
  </si>
  <si>
    <t>Record work personally completed by each student</t>
  </si>
  <si>
    <t>Activity, responsibility, work completed and evidence</t>
  </si>
  <si>
    <t>Design Source Links</t>
  </si>
  <si>
    <t>Record editable source links/files for submitted designs</t>
  </si>
  <si>
    <t>Architecture, UML, ERD, mobile and web design sources</t>
  </si>
  <si>
    <t>Challenges &amp; Actions</t>
  </si>
  <si>
    <t>Record design/project challenges and corrective action</t>
  </si>
  <si>
    <t>Problem, effect, action, owner, target date and status</t>
  </si>
  <si>
    <t>Phase Summary</t>
  </si>
  <si>
    <t>Summarise what was achieved and what remains</t>
  </si>
  <si>
    <t>Phase status, completed work, gaps and next priorities</t>
  </si>
  <si>
    <t>Group Reflection</t>
  </si>
  <si>
    <t>One shared group reflection for Phase 2</t>
  </si>
  <si>
    <t>Participation, collaboration, challenges, learning and improvements</t>
  </si>
  <si>
    <t>Important</t>
  </si>
  <si>
    <t>Do not create a separate tracker for each activity. This Phase 2 workbook is updated as the group progresses. Evidence may include GitHub commits, screenshots, document sections, editable design links/files and other appropriate project evidence. Do not include passwords, API keys or confidential stakeholder information.</t>
  </si>
  <si>
    <t>Phase 2 Project Overview</t>
  </si>
  <si>
    <t>Group</t>
  </si>
  <si>
    <t>Phase 2 Progress Summary</t>
  </si>
  <si>
    <t>Project Title</t>
  </si>
  <si>
    <t>Total tracked items</t>
  </si>
  <si>
    <t>Stakeholder / Organisation</t>
  </si>
  <si>
    <t>Completed</t>
  </si>
  <si>
    <t>Group Leader</t>
  </si>
  <si>
    <t>In Progress</t>
  </si>
  <si>
    <t>Number of Group Members</t>
  </si>
  <si>
    <t>Blocked</t>
  </si>
  <si>
    <t>GitHub Repository Link</t>
  </si>
  <si>
    <t>Average completion</t>
  </si>
  <si>
    <t>Reporting Period</t>
  </si>
  <si>
    <t>Overall Phase Status</t>
  </si>
  <si>
    <t>Not Started</t>
  </si>
  <si>
    <t>Phase 2 Reminder</t>
  </si>
  <si>
    <t>Phase 2 focuses on system architecture and design. Track the design artefacts, the editable source links/files, individual contributions, challenges, Microsoft Project updates and GitHub evidence. No separate stakeholder-evidence section is required in this tracker.</t>
  </si>
  <si>
    <t>Phase 2 Design Progress</t>
  </si>
  <si>
    <t>Task ID</t>
  </si>
  <si>
    <t>Design / Project Item</t>
  </si>
  <si>
    <t>Description / Expected Output</t>
  </si>
  <si>
    <t>Responsible Student(s)</t>
  </si>
  <si>
    <t>Planned Date</t>
  </si>
  <si>
    <t>Actual Completion Date</t>
  </si>
  <si>
    <t>Status</t>
  </si>
  <si>
    <t>% Complete</t>
  </si>
  <si>
    <t>Evidence / Link</t>
  </si>
  <si>
    <t>Notes / Action Required</t>
  </si>
  <si>
    <t>P2-01</t>
  </si>
  <si>
    <t>System Architecture</t>
  </si>
  <si>
    <t>Overall architecture showing Flutter, ASP.NET and shared Supabase backend</t>
  </si>
  <si>
    <t>P2-02</t>
  </si>
  <si>
    <t>Use Case Diagram</t>
  </si>
  <si>
    <t>Actors, use cases, system boundary and appropriate UML relationships</t>
  </si>
  <si>
    <t>P2-03</t>
  </si>
  <si>
    <t>Sequence Diagram 1</t>
  </si>
  <si>
    <t>Important Flutter process</t>
  </si>
  <si>
    <t>P2-04</t>
  </si>
  <si>
    <t>Sequence Diagram 2</t>
  </si>
  <si>
    <t>Important ASP.NET process</t>
  </si>
  <si>
    <t>P2-05</t>
  </si>
  <si>
    <t>ERD</t>
  </si>
  <si>
    <t>Entities, attributes, PKs, FKs, relationships and cardinality</t>
  </si>
  <si>
    <t>P2-06</t>
  </si>
  <si>
    <t>Flutter Interface Designs</t>
  </si>
  <si>
    <t>Main mobile screens and navigation</t>
  </si>
  <si>
    <t>P2-07</t>
  </si>
  <si>
    <t>ASP.NET Interface Designs</t>
  </si>
  <si>
    <t>Main web pages and navigation</t>
  </si>
  <si>
    <t>P2-08</t>
  </si>
  <si>
    <t>Design Alignment</t>
  </si>
  <si>
    <t>Requirements linked across UML, ERD and interfaces</t>
  </si>
  <si>
    <t>P2-09</t>
  </si>
  <si>
    <t>Updated SRS</t>
  </si>
  <si>
    <t>Phase 2 architecture and design section inserted in existing SRS</t>
  </si>
  <si>
    <t>P2-10</t>
  </si>
  <si>
    <t>Microsoft Project</t>
  </si>
  <si>
    <t>Schedule updated to reflect design progress and upcoming development</t>
  </si>
  <si>
    <t>P2-11</t>
  </si>
  <si>
    <t>GitHub</t>
  </si>
  <si>
    <t>Current design documentation and repository organisation</t>
  </si>
  <si>
    <t>P2-12</t>
  </si>
  <si>
    <t>Phase 2 Presentation</t>
  </si>
  <si>
    <t>Presentation and defence preparation</t>
  </si>
  <si>
    <t>Phase 2 Individual Contributions</t>
  </si>
  <si>
    <t>Student Name</t>
  </si>
  <si>
    <t>Student Number</t>
  </si>
  <si>
    <t>Activity / Artefact</t>
  </si>
  <si>
    <t>Assigned Responsibility</t>
  </si>
  <si>
    <t>Work Personally Completed</t>
  </si>
  <si>
    <t>Date Completed</t>
  </si>
  <si>
    <t>Hours Spent</t>
  </si>
  <si>
    <t>Verified by Group</t>
  </si>
  <si>
    <t>Verification Date</t>
  </si>
  <si>
    <t>Quality / Review Notes</t>
  </si>
  <si>
    <t>Contribution Status</t>
  </si>
  <si>
    <t>No</t>
  </si>
  <si>
    <t>Phase 2 Original Design Source Links / Files</t>
  </si>
  <si>
    <t>Design Artefact</t>
  </si>
  <si>
    <t>Tool Used</t>
  </si>
  <si>
    <t>Editable Link / File Name</t>
  </si>
  <si>
    <t>Accessible to Lecturer?</t>
  </si>
  <si>
    <t>Last Updated</t>
  </si>
  <si>
    <t>Responsible Student</t>
  </si>
  <si>
    <t>Included in SRS?</t>
  </si>
  <si>
    <t>Notes</t>
  </si>
  <si>
    <t>Navigation Flow</t>
  </si>
  <si>
    <t>Phase 2 Challenges and Corrective Actions</t>
  </si>
  <si>
    <t>Date Identified</t>
  </si>
  <si>
    <t>Challenge</t>
  </si>
  <si>
    <t>Effect on Progress / Design</t>
  </si>
  <si>
    <t>Corrective Action</t>
  </si>
  <si>
    <t>Target Date</t>
  </si>
  <si>
    <t>Resolved Date</t>
  </si>
  <si>
    <t>Phase 2 Completion Checklist</t>
  </si>
  <si>
    <t>Complete?</t>
  </si>
  <si>
    <t>Architecture complete</t>
  </si>
  <si>
    <t>What was completed during Phase 2?</t>
  </si>
  <si>
    <t>Use Case Diagram complete</t>
  </si>
  <si>
    <t>What remains incomplete?</t>
  </si>
  <si>
    <t>Two Sequence Diagrams complete</t>
  </si>
  <si>
    <t>Why is it incomplete?</t>
  </si>
  <si>
    <t>ERD complete</t>
  </si>
  <si>
    <t>Which contributions were particularly important?</t>
  </si>
  <si>
    <t>Flutter interfaces complete</t>
  </si>
  <si>
    <t>Were there participation concerns?</t>
  </si>
  <si>
    <t>ASP.NET interfaces complete</t>
  </si>
  <si>
    <t>What will the group improve in Phase 3?</t>
  </si>
  <si>
    <t>Editable source links/files recorded</t>
  </si>
  <si>
    <t>Main priority for Phase 3</t>
  </si>
  <si>
    <t>SRS updated</t>
  </si>
  <si>
    <t>Microsoft Project updated</t>
  </si>
  <si>
    <t>GitHub current</t>
  </si>
  <si>
    <t>Individual contributions recorded</t>
  </si>
  <si>
    <t>Challenges/actions updated</t>
  </si>
  <si>
    <t>Group reflection completed</t>
  </si>
  <si>
    <t>Phase 2 Group Reflection</t>
  </si>
  <si>
    <t>1. What did the group complete successfully during Phase 2?</t>
  </si>
  <si>
    <t>2. Which architecture or design activities were the most challenging?</t>
  </si>
  <si>
    <t>3. How did the group ensure that Flutter, ASP.NET and Supabase were designed as one integrated system?</t>
  </si>
  <si>
    <t>4. How was work divided among group members, and was participation balanced?</t>
  </si>
  <si>
    <t>5. What did the group learn from developing the UML, ERD and interface designs?</t>
  </si>
  <si>
    <t>6. What will the group do differently during development in Phase 3?</t>
  </si>
  <si>
    <t>Boitumelo Masimong</t>
  </si>
  <si>
    <t>Tech Elite (Group L)</t>
  </si>
  <si>
    <t>Commercial Livestock Trading Platform</t>
  </si>
  <si>
    <t>Kgomotso Ranchu</t>
  </si>
  <si>
    <t>16th September 2026 -12th October 2026</t>
  </si>
  <si>
    <t>Git Hub</t>
  </si>
  <si>
    <t>Lucky Kali</t>
  </si>
  <si>
    <t>Omolemo Mangoejane</t>
  </si>
  <si>
    <t>Talente Mokgwati</t>
  </si>
  <si>
    <t>Mampuku Taeli &amp; Lebohang Koloi</t>
  </si>
  <si>
    <t>Bokang Mthembu &amp; Rethabile Mosia</t>
  </si>
  <si>
    <t>Bokang Mthembu,Rethabile Mosia,Talente Mokgwati &amp; Lucky Kali</t>
  </si>
  <si>
    <t>Lebohang Koloi,Mampuku Taeli &amp; Boitumelo Masimong</t>
  </si>
  <si>
    <t>Omolemo Mangoejane &amp; Lebohang Koloi</t>
  </si>
  <si>
    <t xml:space="preserve">Mampuku Taeli </t>
  </si>
  <si>
    <t>All Members</t>
  </si>
  <si>
    <t>Mampuku Taeli</t>
  </si>
  <si>
    <t>Lebohang Koloi</t>
  </si>
  <si>
    <t>Bokang Mthembu</t>
  </si>
  <si>
    <t>Rethabile Mosia</t>
  </si>
  <si>
    <t>Yes</t>
  </si>
  <si>
    <t>12/10/2026</t>
  </si>
  <si>
    <t>08/10/2026</t>
  </si>
  <si>
    <t>07/10/2026</t>
  </si>
  <si>
    <t>09/10/2026</t>
  </si>
  <si>
    <t>10/10/2026</t>
  </si>
  <si>
    <t>13/10/2026</t>
  </si>
  <si>
    <t>30/09/2026</t>
  </si>
  <si>
    <t>15/09/2026</t>
  </si>
  <si>
    <t>72 hours</t>
  </si>
  <si>
    <t>Project management:GitHub and Progress Tracker and Microsoft Project Plan</t>
  </si>
  <si>
    <t>ERD  and refining documentation</t>
  </si>
  <si>
    <t>Use Case and refining documentation</t>
  </si>
  <si>
    <t>Sequence diagram and Figma Prototype</t>
  </si>
  <si>
    <t>Interface Design and Figma Prototype</t>
  </si>
  <si>
    <t>Update the Progress Tracker as each member completes the tasks. Collaborate with team members and update the Microsoft Project Plan</t>
  </si>
  <si>
    <t>Member monitered all progress and updated the progress tracker.Ensured that every member collaborated on GitHub</t>
  </si>
  <si>
    <t>System Architecture Design and Interface Design</t>
  </si>
  <si>
    <t>Microsoft Project Plan , ERD and System Design Architecture</t>
  </si>
  <si>
    <t>Update the Microsoft Project Plan and assist with refining the ERD. Member will assist with system design Architecture</t>
  </si>
  <si>
    <t>Updated the Microsoft Project Schedule, all activities of the project were included and the Entity Relationship Diagram was refined. The design of the system was also completed.</t>
  </si>
  <si>
    <t>Review and refine Entity Relationship Diagram. Take all diagram screenshots and update SRS</t>
  </si>
  <si>
    <t>The ERD was reviewed and refined. The SRS was updated by aligning all diagrams and information with required system requirements.</t>
  </si>
  <si>
    <t>Identify all components and interactions that the system will have. Develop the interface design functionality and confirm the user requirements</t>
  </si>
  <si>
    <t>Completed the system architecture by finalising the layout of the interface and make sure that the interface design is aligned with all the requirements of our stakeholder</t>
  </si>
  <si>
    <t>Refine Use Case diagram and assist with updating the SRS</t>
  </si>
  <si>
    <t>Completed Use Case diagram by showcasing the relationship between actors, the functions of the system and all interactions between user and system</t>
  </si>
  <si>
    <t>Develop two sequence diagrams, one for a buyer and other for a seller. Assist with a Figma Prototype and show the functionality of the system</t>
  </si>
  <si>
    <t>Created both sequence diagrams and developed a figma prototype to show system navigation</t>
  </si>
  <si>
    <t>Develop a prototype that shows layout, navigation and functionality</t>
  </si>
  <si>
    <t>Developed a system interface and that assisted with a Figma Prototype that has all screens that interacts through navigation</t>
  </si>
  <si>
    <t xml:space="preserve"> Develop the interface and assist with Figma prototype. Ensure that all screens are consistent</t>
  </si>
  <si>
    <t>Designed and refined the interface screens in Figma and ensured they are consistent</t>
  </si>
  <si>
    <t>Draw.IO</t>
  </si>
  <si>
    <t>Lucid Chart</t>
  </si>
  <si>
    <t>Figma</t>
  </si>
  <si>
    <t>Rethabile Mosia , Bokang Mthembu &amp; Talente Mokgwati</t>
  </si>
  <si>
    <t xml:space="preserve">All members were given tasks to do and as a result we all collaborated as this project is a team effort. The following was completed in Phase 2 : System Architecture, Use Case diagram, Two Sequence diagrams, ERD,Flutter interfaces,ASP.NET interfaces,SRS,Microsoft Project,GitHub, Links for all diagrams were included and the Progress Tracker was updated </t>
  </si>
  <si>
    <t>Supabase is still incomplete</t>
  </si>
  <si>
    <t xml:space="preserve">The Use Case was very important because it is the foundation of Phase 2 , without it we are unable to continue and complete the phase. All digarams were linked to each other and every contribution was important. </t>
  </si>
  <si>
    <t>Yes, as a team we had our own due date to ensure that we meet all our goals. Some members failed to submit on that day and that delayed the progress of the team. Overall eveything was sent at a later stage , but we only had less time to review eveything before submission.</t>
  </si>
  <si>
    <t>Still to be completed in Phase 3</t>
  </si>
  <si>
    <t>We will improve on communication and time management. We will work on professionalism by arriving on time and communicating consistently. We will also work on submiting on time to meet our goals as a team</t>
  </si>
  <si>
    <t>We will communicate with the stakeholder and show him the planned architecture of the app. The figma prototype will also be presented to him to get approval on the functionality, navigation and consistency of mobile screens.  As a team we will ensure that our Phase 2 is able to assist us in Phase 3 with development, integration, testing and demonstration</t>
  </si>
  <si>
    <t xml:space="preserve">The following documents were completed successfully: System Architecture, Use Case diagram, Two Sequence diagrams, ERD,Flutter interfaces,ASP.NET interfaces,SRS,Microsoft Project,GitHub, Links for all diagrams were included and the Progress Tracker was updated </t>
  </si>
  <si>
    <t xml:space="preserve">Designing the figma prototype was the most challenging as it required proper planning and critical thinking.  So members struggled to create interaction between screens  due to the amount of screens the prototype had. </t>
  </si>
  <si>
    <t>We developed a sequence diagram that shows the relationship between Flutter, ASP.NET and Supabase as one integrated system.</t>
  </si>
  <si>
    <t>312 hours</t>
  </si>
  <si>
    <t>192 hours</t>
  </si>
  <si>
    <t>384 hours</t>
  </si>
  <si>
    <t>432 hours</t>
  </si>
  <si>
    <t>96 hours</t>
  </si>
  <si>
    <t>All hours were taken from the Microsoft Project Plan</t>
  </si>
  <si>
    <t>Link for ERD  https://tinyurl.com/entityRelatedDiagram</t>
  </si>
  <si>
    <t>Updated SRS is in the zip folder</t>
  </si>
  <si>
    <t>Every member had someone or people to work with. Some worked in groups of two and some in groups of three. The members were paired in this order : Use Case ( Omolemo Mangoejane), ERD( Mampuku Taeli &amp; Lebohang Koloi), Sequence Diagram ( Talente Mokgwati),System Architecture (Lucky Kali, Mampuku Taeli), Flutter Interface Designs +Navigation Flow( Bokang Mthembu, Rethabile Mosia &amp; Talente Mokgwati),GitHub Commits(All members),Progress Tracker (Boitumelo Masimong), Microsoft Project Plan( Mampuku Taeli)</t>
  </si>
  <si>
    <t>As group we learnt that all diagrams are linked and share many components in common. UML forms the foundation of the functionality that the system will have. We learnt that the UML shows how external users and actors interact with the system. From an ERD we learnt that all objects that we have and tables should connect to tables inside the database. Interface designs help with having a visual representation of how the system will be. A prototype is a planning of how the system will be , it is not final as it can change through time.</t>
  </si>
  <si>
    <t>Work on our time management by submitting within the date we set for our self. Ensure that we meet more to ensure that we are all on the right track. We will also consult more to get clarity on what is required from us.</t>
  </si>
  <si>
    <t>Entity Relationship Diagram</t>
  </si>
  <si>
    <t>Flutter Interface Design</t>
  </si>
  <si>
    <t>ASP.NET Interface Design</t>
  </si>
  <si>
    <t>https://tinyurl.com/entityRelatedDiagram</t>
  </si>
  <si>
    <t>Already provided</t>
  </si>
  <si>
    <t>In the zip folder</t>
  </si>
  <si>
    <t>N/A</t>
  </si>
  <si>
    <t>https://github.com/happinessmasimo-afk/Tech_Elites</t>
  </si>
  <si>
    <t>Both documents are in the zip folder           GitHub Link  https://github.com/happinessmasimo-afk/Tech_Elites</t>
  </si>
  <si>
    <t>Sequence Diagram 2( Seller)</t>
  </si>
  <si>
    <t>Sequence Diagram 1 (Buyer)</t>
  </si>
  <si>
    <t>https://tinyurl.com/systemArch</t>
  </si>
  <si>
    <t>https://lucid.app/lucidspark/useCaseDiagram</t>
  </si>
  <si>
    <t>https://www.figma.com/board/CustomerSequence</t>
  </si>
  <si>
    <t>https://www.figma.com/SellerSequencce</t>
  </si>
  <si>
    <t>https://www.figma.com/webApp</t>
  </si>
  <si>
    <t xml:space="preserve">Link for System Architecture   https://tinyurl.com/systemArch  </t>
  </si>
  <si>
    <t>Link for Use Case  https://lucid.app/lucidspark/useCaseDiagram</t>
  </si>
  <si>
    <t>Link for two sequence diagrams https://www.figma.com/board/CustomerSequence                  https://www.figma.com/SellerSequencce</t>
  </si>
  <si>
    <t>Link for Figma https://www.figma.com/design/mobileApp</t>
  </si>
  <si>
    <t>Link for Figma https://www.figma.com/webApp</t>
  </si>
  <si>
    <t>Keeping the diagram neat and easy to read . As more use cases were added, it became harder to arrange everything without the lines crossing over each other or the diagram looking cluttered.</t>
  </si>
  <si>
    <t>Understanding the requirements document .The SRS was typed, so I had to figure out how to turn each requirement into the correct use case diagram symbol.</t>
  </si>
  <si>
    <t>23/09/2026</t>
  </si>
  <si>
    <t>26/09/2026</t>
  </si>
  <si>
    <t>05/10/2026</t>
  </si>
  <si>
    <t>Member was struggling to select the most important process for a sequence diagram</t>
  </si>
  <si>
    <t>03/10/2026</t>
  </si>
  <si>
    <t>Poor group communication, lack of commitment, and differences in goals among group members</t>
  </si>
  <si>
    <t>11/10/2026</t>
  </si>
  <si>
    <t>Being uncertain about Use Case delayed other members from workinng as this UML is the foundation of Phase 2</t>
  </si>
  <si>
    <t>Reviewing examples on Ethuto , consulting with mentor and correcting the diagram</t>
  </si>
  <si>
    <t>This slowed down the rate of diagram development</t>
  </si>
  <si>
    <t>Review SRS, identify actors and system functionality and update diagram</t>
  </si>
  <si>
    <t>The lines that were everywhere made it difficult to read and understand diagram</t>
  </si>
  <si>
    <t>Minimise the lines that cross each other to ensure that the diagram is readable</t>
  </si>
  <si>
    <t>This delayed the progress and made it difficult to determine interactions of the system</t>
  </si>
  <si>
    <t>Review Use Case and select important processes.</t>
  </si>
  <si>
    <t>Poor communication delayed progress and placed all members under pressure</t>
  </si>
  <si>
    <t>Ensure that all goals , deadlines , individual assignments are communicately clearly</t>
  </si>
  <si>
    <t xml:space="preserve">Having to wait for every member to complete their tasks , before completing the progress tracker. </t>
  </si>
  <si>
    <t xml:space="preserve">Delayed progress on each task delayed members from achieving the group goal. </t>
  </si>
  <si>
    <t>Reminding members to submit their progress and as they send the progress tracker is updated</t>
  </si>
  <si>
    <t>Choosing the right relationship type.    It was sometimes hard to decide whether two use cases should be connected with «include», «extend», or generalization, since they all look similar but mean different things.</t>
  </si>
  <si>
    <t xml:space="preserve">Lucky Kali, Mampuku Taeli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</si>
</sst>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yy/mm/dd;@"/>
    <numFmt numFmtId="167" formatCode="[$-1C09]dd\ mmmm\ yyyy;@"/>
  </numFmts>
  <fonts count="6">
    <font>
      <sz val="11"/>
      <name val="Carlito"/>
    </font>
    <font>
      <b/>
      <sz val="15"/>
      <color rgb="FFFFFFFF"/>
      <name val="Carlito"/>
    </font>
    <font>
      <b/>
      <sz val="11"/>
      <color rgb="FFFFFFFF"/>
      <name val="Carlito"/>
    </font>
    <font>
      <b/>
      <sz val="11"/>
      <name val="Carlito"/>
    </font>
    <font>
      <sz val="11"/>
      <name val="Carlito"/>
    </font>
    <font>
      <u/>
      <sz val="11"/>
      <color theme="10"/>
      <name val="Carlito"/>
    </font>
  </fonts>
  <fills count="7">
    <fill>
      <patternFill patternType="none"/>
    </fill>
    <fill>
      <patternFill patternType="gray125"/>
    </fill>
    <fill>
      <patternFill patternType="solid">
        <fgColor rgb="FF17365D"/>
      </patternFill>
    </fill>
    <fill>
      <patternFill patternType="solid">
        <fgColor rgb="FFF3F6FA"/>
      </patternFill>
    </fill>
    <fill>
      <patternFill patternType="solid">
        <fgColor rgb="FFD9EAF7"/>
      </patternFill>
    </fill>
    <fill>
      <patternFill patternType="solid">
        <fgColor rgb="FFFFF2CC"/>
      </patternFill>
    </fill>
    <fill>
      <patternFill patternType="solid">
        <fgColor rgb="FFE2F0D9"/>
      </patternFill>
    </fill>
  </fills>
  <borders count="2">
    <border>
      <left/>
      <right/>
      <top/>
      <bottom/>
      <diagonal/>
    </border>
    <border>
      <left/>
      <right/>
      <top/>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30">
    <xf numFmtId="0" fontId="0" fillId="0" borderId="0" xfId="0"/>
    <xf numFmtId="0" fontId="2"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3" fillId="4" borderId="0" xfId="0" applyNumberFormat="1" applyFont="1" applyFill="1" applyBorder="1"/>
    <xf numFmtId="0" fontId="3" fillId="4" borderId="0" xfId="0" applyNumberFormat="1" applyFont="1" applyFill="1" applyBorder="1" applyAlignment="1">
      <alignment wrapText="1"/>
    </xf>
    <xf numFmtId="0" fontId="0" fillId="5" borderId="0" xfId="0" applyNumberFormat="1" applyFont="1" applyFill="1" applyBorder="1" applyAlignment="1">
      <alignment vertical="top" wrapText="1"/>
    </xf>
    <xf numFmtId="0" fontId="0" fillId="5" borderId="1" xfId="0" applyNumberFormat="1" applyFont="1" applyFill="1" applyBorder="1" applyAlignment="1">
      <alignment vertical="top" wrapText="1"/>
    </xf>
    <xf numFmtId="0" fontId="3" fillId="6" borderId="0" xfId="0" applyNumberFormat="1" applyFont="1" applyFill="1" applyBorder="1" applyAlignment="1">
      <alignment horizontal="center"/>
    </xf>
    <xf numFmtId="9" fontId="3" fillId="6" borderId="0" xfId="0" applyNumberFormat="1" applyFont="1" applyFill="1" applyBorder="1" applyAlignment="1">
      <alignment horizontal="center"/>
    </xf>
    <xf numFmtId="0" fontId="3" fillId="4" borderId="0" xfId="0" applyNumberFormat="1" applyFont="1" applyFill="1" applyBorder="1" applyAlignment="1">
      <alignment vertical="top" wrapText="1"/>
    </xf>
    <xf numFmtId="0" fontId="1" fillId="2" borderId="0" xfId="0" applyNumberFormat="1" applyFont="1" applyFill="1" applyBorder="1" applyAlignment="1">
      <alignment horizontal="center" vertical="center"/>
    </xf>
    <xf numFmtId="0" fontId="0" fillId="3" borderId="0" xfId="0" applyNumberFormat="1" applyFont="1" applyFill="1" applyBorder="1" applyAlignment="1">
      <alignment wrapText="1"/>
    </xf>
    <xf numFmtId="0" fontId="2" fillId="2" borderId="0" xfId="0" applyNumberFormat="1" applyFont="1" applyFill="1" applyBorder="1"/>
    <xf numFmtId="0" fontId="0" fillId="3" borderId="0" xfId="0" applyNumberFormat="1" applyFont="1" applyFill="1" applyBorder="1" applyAlignment="1">
      <alignment vertical="top" wrapText="1"/>
    </xf>
    <xf numFmtId="0" fontId="2" fillId="2" borderId="0" xfId="0" applyNumberFormat="1" applyFont="1" applyFill="1" applyBorder="1" applyAlignment="1">
      <alignment horizontal="center"/>
    </xf>
    <xf numFmtId="0" fontId="0" fillId="5" borderId="0" xfId="0" applyNumberFormat="1" applyFont="1" applyFill="1" applyBorder="1" applyAlignment="1">
      <alignment vertical="top" wrapText="1"/>
    </xf>
    <xf numFmtId="0" fontId="3" fillId="4" borderId="0" xfId="0" applyNumberFormat="1" applyFont="1" applyFill="1" applyBorder="1" applyAlignment="1">
      <alignment wrapText="1"/>
    </xf>
    <xf numFmtId="0" fontId="3" fillId="5" borderId="0" xfId="0" applyNumberFormat="1" applyFont="1" applyFill="1" applyBorder="1" applyAlignment="1">
      <alignment vertical="top" wrapText="1"/>
    </xf>
    <xf numFmtId="0" fontId="3" fillId="4" borderId="0" xfId="0" applyNumberFormat="1" applyFont="1" applyFill="1" applyBorder="1" applyAlignment="1">
      <alignment vertical="top" wrapText="1"/>
    </xf>
    <xf numFmtId="0" fontId="5" fillId="5" borderId="0" xfId="2" applyNumberFormat="1" applyFill="1" applyBorder="1" applyAlignment="1">
      <alignment vertical="top" wrapText="1"/>
    </xf>
    <xf numFmtId="9" fontId="2" fillId="2" borderId="0" xfId="1" applyNumberFormat="1" applyFont="1" applyFill="1" applyBorder="1" applyAlignment="1">
      <alignment horizontal="center" vertical="center" wrapText="1"/>
    </xf>
    <xf numFmtId="9" fontId="0" fillId="5" borderId="0" xfId="1" applyNumberFormat="1" applyFont="1" applyFill="1" applyBorder="1" applyAlignment="1">
      <alignment vertical="top" wrapText="1"/>
    </xf>
    <xf numFmtId="9" fontId="0" fillId="0" borderId="0" xfId="1" applyNumberFormat="1" applyFont="1"/>
    <xf numFmtId="166" fontId="2" fillId="2" borderId="0" xfId="0" applyNumberFormat="1" applyFont="1" applyFill="1" applyBorder="1" applyAlignment="1">
      <alignment horizontal="center" vertical="center" wrapText="1"/>
    </xf>
    <xf numFmtId="166" fontId="0" fillId="5" borderId="0" xfId="0" applyNumberFormat="1" applyFont="1" applyFill="1" applyBorder="1" applyAlignment="1">
      <alignment vertical="top" wrapText="1"/>
    </xf>
    <xf numFmtId="166" fontId="0" fillId="0" borderId="0" xfId="0" applyNumberFormat="1"/>
    <xf numFmtId="167" fontId="2" fillId="2" borderId="0" xfId="0" applyNumberFormat="1" applyFont="1" applyFill="1" applyBorder="1" applyAlignment="1">
      <alignment horizontal="center" vertical="center" wrapText="1"/>
    </xf>
    <xf numFmtId="167" fontId="0" fillId="5" borderId="0" xfId="0" applyNumberFormat="1" applyFont="1" applyFill="1" applyBorder="1" applyAlignment="1">
      <alignment vertical="top" wrapText="1"/>
    </xf>
    <xf numFmtId="167" fontId="0" fillId="0" borderId="0" xfId="0" applyNumberFormat="1"/>
    <xf numFmtId="167" fontId="0" fillId="5" borderId="1" xfId="0" applyNumberFormat="1" applyFont="1" applyFill="1" applyBorder="1" applyAlignment="1">
      <alignment vertical="top" wrapText="1"/>
    </xf>
  </cellXfs>
  <cellStyles count="3">
    <cellStyle name="Hyperlink" xfId="2" builtinId="8"/>
    <cellStyle name="Normal" xfId="0" builtinId="0"/>
    <cellStyle name="Percent" xfId="1" builtinId="5"/>
  </cellStyles>
  <dxfs count="5">
    <dxf>
      <fill>
        <patternFill patternType="solid">
          <bgColor rgb="FFF4CCCC"/>
        </patternFill>
      </fill>
    </dxf>
    <dxf>
      <fill>
        <patternFill patternType="solid">
          <bgColor rgb="FFE2F0D9"/>
        </patternFill>
      </fill>
    </dxf>
    <dxf>
      <fill>
        <patternFill patternType="solid">
          <bgColor rgb="FFE2F0D9"/>
        </patternFill>
      </fill>
    </dxf>
    <dxf>
      <fill>
        <patternFill patternType="solid">
          <bgColor rgb="FFF4CCCC"/>
        </patternFill>
      </fill>
    </dxf>
    <dxf>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happinessmasimo-afk/Tech_Elites.gi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github.com/happinessmasimo-afk/Tech_Elites" TargetMode="External"/><Relationship Id="rId2" Type="http://schemas.openxmlformats.org/officeDocument/2006/relationships/hyperlink" Target="https://tinyurl.com/entityRelatedDiagram" TargetMode="External"/><Relationship Id="rId1" Type="http://schemas.openxmlformats.org/officeDocument/2006/relationships/hyperlink" Target="https://tinyurl.com/systemArch" TargetMode="External"/><Relationship Id="rId5" Type="http://schemas.openxmlformats.org/officeDocument/2006/relationships/printerSettings" Target="../printerSettings/printerSettings1.bin"/><Relationship Id="rId4" Type="http://schemas.openxmlformats.org/officeDocument/2006/relationships/hyperlink" Target="https://lucid.app/lucidspark/useCaseDiagra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tinyurl.com/systemArch" TargetMode="External"/><Relationship Id="rId3" Type="http://schemas.openxmlformats.org/officeDocument/2006/relationships/hyperlink" Target="https://www.figma.com/webApp" TargetMode="External"/><Relationship Id="rId7" Type="http://schemas.openxmlformats.org/officeDocument/2006/relationships/hyperlink" Target="https://lucid.app/lucidspark/useCaseDiagram" TargetMode="External"/><Relationship Id="rId2" Type="http://schemas.openxmlformats.org/officeDocument/2006/relationships/hyperlink" Target="https://www.figma.com/design/mobileApp" TargetMode="External"/><Relationship Id="rId1" Type="http://schemas.openxmlformats.org/officeDocument/2006/relationships/hyperlink" Target="https://tinyurl.com/entityRelatedDiagram" TargetMode="External"/><Relationship Id="rId6" Type="http://schemas.openxmlformats.org/officeDocument/2006/relationships/hyperlink" Target="https://www.figma.com/SellerSequencce" TargetMode="External"/><Relationship Id="rId5" Type="http://schemas.openxmlformats.org/officeDocument/2006/relationships/hyperlink" Target="https://www.figma.com/board/CustomerSequence" TargetMode="External"/><Relationship Id="rId4" Type="http://schemas.openxmlformats.org/officeDocument/2006/relationships/hyperlink" Target="https://www.figma.com/design/yVGy66YA8dLUKVGFis8gKX/Untitled?node-id=56-128&amp;t=pJkAjKKOvcTEdWVA-1"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opLeftCell="A3" workbookViewId="0">
      <selection sqref="A1:F1"/>
    </sheetView>
  </sheetViews>
  <sheetFormatPr defaultRowHeight="13.8"/>
  <cols>
    <col min="1" max="1" width="25" customWidth="1"/>
    <col min="2" max="2" width="38" customWidth="1"/>
    <col min="3" max="3" width="52" customWidth="1"/>
    <col min="4" max="6" width="14" customWidth="1"/>
  </cols>
  <sheetData>
    <row r="1" spans="1:6" ht="27.15" customHeight="1">
      <c r="A1" s="10" t="s">
        <v>0</v>
      </c>
      <c r="B1" s="10"/>
      <c r="C1" s="10"/>
      <c r="D1" s="10"/>
      <c r="E1" s="10"/>
      <c r="F1" s="10"/>
    </row>
    <row r="2" spans="1:6" ht="27.15" customHeight="1">
      <c r="A2" s="11" t="s">
        <v>1</v>
      </c>
      <c r="B2" s="11"/>
      <c r="C2" s="11"/>
      <c r="D2" s="11"/>
      <c r="E2" s="11"/>
      <c r="F2" s="11"/>
    </row>
    <row r="4" spans="1:6" ht="24" customHeight="1">
      <c r="A4" s="1" t="s">
        <v>2</v>
      </c>
      <c r="B4" s="1" t="s">
        <v>3</v>
      </c>
      <c r="C4" s="1" t="s">
        <v>4</v>
      </c>
    </row>
    <row r="5" spans="1:6" ht="31.95" customHeight="1">
      <c r="A5" s="2" t="s">
        <v>5</v>
      </c>
      <c r="B5" s="2" t="s">
        <v>6</v>
      </c>
      <c r="C5" s="2" t="s">
        <v>7</v>
      </c>
    </row>
    <row r="6" spans="1:6" ht="31.95" customHeight="1">
      <c r="A6" s="2" t="s">
        <v>8</v>
      </c>
      <c r="B6" s="2" t="s">
        <v>9</v>
      </c>
      <c r="C6" s="2" t="s">
        <v>10</v>
      </c>
    </row>
    <row r="7" spans="1:6" ht="31.95" customHeight="1">
      <c r="A7" s="2" t="s">
        <v>11</v>
      </c>
      <c r="B7" s="2" t="s">
        <v>12</v>
      </c>
      <c r="C7" s="2" t="s">
        <v>13</v>
      </c>
    </row>
    <row r="8" spans="1:6" ht="31.95" customHeight="1">
      <c r="A8" s="2" t="s">
        <v>14</v>
      </c>
      <c r="B8" s="2" t="s">
        <v>15</v>
      </c>
      <c r="C8" s="2" t="s">
        <v>16</v>
      </c>
    </row>
    <row r="9" spans="1:6" ht="31.95" customHeight="1">
      <c r="A9" s="2" t="s">
        <v>17</v>
      </c>
      <c r="B9" s="2" t="s">
        <v>18</v>
      </c>
      <c r="C9" s="2" t="s">
        <v>19</v>
      </c>
    </row>
    <row r="10" spans="1:6" ht="31.95" customHeight="1">
      <c r="A10" s="2" t="s">
        <v>20</v>
      </c>
      <c r="B10" s="2" t="s">
        <v>21</v>
      </c>
      <c r="C10" s="2" t="s">
        <v>22</v>
      </c>
    </row>
    <row r="11" spans="1:6" ht="31.95" customHeight="1">
      <c r="A11" s="2" t="s">
        <v>23</v>
      </c>
      <c r="B11" s="2" t="s">
        <v>24</v>
      </c>
      <c r="C11" s="2" t="s">
        <v>25</v>
      </c>
    </row>
    <row r="13" spans="1:6">
      <c r="A13" s="12" t="s">
        <v>26</v>
      </c>
      <c r="B13" s="12"/>
      <c r="C13" s="12"/>
      <c r="D13" s="12"/>
      <c r="E13" s="12"/>
      <c r="F13" s="12"/>
    </row>
    <row r="14" spans="1:6">
      <c r="A14" s="13" t="s">
        <v>27</v>
      </c>
      <c r="B14" s="13"/>
      <c r="C14" s="13"/>
      <c r="D14" s="13"/>
      <c r="E14" s="13"/>
      <c r="F14" s="13"/>
    </row>
    <row r="15" spans="1:6">
      <c r="A15" s="13"/>
      <c r="B15" s="13"/>
      <c r="C15" s="13"/>
      <c r="D15" s="13"/>
      <c r="E15" s="13"/>
      <c r="F15" s="13"/>
    </row>
    <row r="16" spans="1:6">
      <c r="A16" s="13"/>
      <c r="B16" s="13"/>
      <c r="C16" s="13"/>
      <c r="D16" s="13"/>
      <c r="E16" s="13"/>
      <c r="F16" s="13"/>
    </row>
    <row r="17" spans="1:6">
      <c r="A17" s="13"/>
      <c r="B17" s="13"/>
      <c r="C17" s="13"/>
      <c r="D17" s="13"/>
      <c r="E17" s="13"/>
      <c r="F17" s="13"/>
    </row>
    <row r="18" spans="1:6">
      <c r="A18" s="13"/>
      <c r="B18" s="13"/>
      <c r="C18" s="13"/>
      <c r="D18" s="13"/>
      <c r="E18" s="13"/>
      <c r="F18" s="13"/>
    </row>
  </sheetData>
  <mergeCells count="4">
    <mergeCell ref="A1:F1"/>
    <mergeCell ref="A2:F2"/>
    <mergeCell ref="A13:F13"/>
    <mergeCell ref="A14: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selection activeCell="D11" sqref="D11:H15"/>
    </sheetView>
  </sheetViews>
  <sheetFormatPr defaultRowHeight="13.8"/>
  <cols>
    <col min="1" max="1" width="27" customWidth="1"/>
    <col min="2" max="2" width="38" customWidth="1"/>
    <col min="3" max="3" width="4" customWidth="1"/>
    <col min="4" max="4" width="25" customWidth="1"/>
    <col min="5" max="5" width="18" customWidth="1"/>
    <col min="6" max="8" width="16" customWidth="1"/>
  </cols>
  <sheetData>
    <row r="1" spans="1:8" ht="27.15" customHeight="1">
      <c r="A1" s="10" t="s">
        <v>28</v>
      </c>
      <c r="B1" s="10"/>
      <c r="C1" s="10"/>
      <c r="D1" s="10"/>
      <c r="E1" s="10"/>
      <c r="F1" s="10"/>
      <c r="G1" s="10"/>
      <c r="H1" s="10"/>
    </row>
    <row r="3" spans="1:8">
      <c r="A3" s="4" t="s">
        <v>29</v>
      </c>
      <c r="B3" s="5" t="s">
        <v>153</v>
      </c>
      <c r="D3" s="14" t="s">
        <v>30</v>
      </c>
      <c r="E3" s="14"/>
      <c r="F3" s="14"/>
      <c r="G3" s="14"/>
      <c r="H3" s="14"/>
    </row>
    <row r="4" spans="1:8">
      <c r="A4" s="4" t="s">
        <v>31</v>
      </c>
      <c r="B4" s="5" t="s">
        <v>154</v>
      </c>
      <c r="D4" s="3" t="s">
        <v>32</v>
      </c>
      <c r="E4" s="7">
        <f>COUNTA('Design Progress'!A4:A33)</f>
        <v>12</v>
      </c>
    </row>
    <row r="5" spans="1:8">
      <c r="A5" s="4" t="s">
        <v>33</v>
      </c>
      <c r="B5" s="5" t="s">
        <v>155</v>
      </c>
      <c r="D5" s="3" t="s">
        <v>34</v>
      </c>
      <c r="E5" s="7">
        <f>COUNTIF('Design Progress'!G4:G33,"Completed")</f>
        <v>11</v>
      </c>
    </row>
    <row r="6" spans="1:8">
      <c r="A6" s="4" t="s">
        <v>35</v>
      </c>
      <c r="B6" s="5" t="s">
        <v>152</v>
      </c>
      <c r="D6" s="3" t="s">
        <v>36</v>
      </c>
      <c r="E6" s="7">
        <f>COUNTIF('Design Progress'!G4:G33,"In Progress")</f>
        <v>0</v>
      </c>
    </row>
    <row r="7" spans="1:8">
      <c r="A7" s="4" t="s">
        <v>37</v>
      </c>
      <c r="B7" s="5">
        <v>8</v>
      </c>
      <c r="D7" s="3" t="s">
        <v>38</v>
      </c>
      <c r="E7" s="7">
        <f>COUNTIF('Design Progress'!G4:G33,"Blocked")</f>
        <v>0</v>
      </c>
    </row>
    <row r="8" spans="1:8">
      <c r="A8" s="4" t="s">
        <v>39</v>
      </c>
      <c r="B8" s="19" t="s">
        <v>157</v>
      </c>
      <c r="D8" s="3" t="s">
        <v>40</v>
      </c>
      <c r="E8" s="8">
        <f>IFERROR(AVERAGE('Design Progress'!H4:H33),0)</f>
        <v>0.91666666666666663</v>
      </c>
    </row>
    <row r="9" spans="1:8">
      <c r="A9" s="4" t="s">
        <v>41</v>
      </c>
      <c r="B9" s="5" t="s">
        <v>156</v>
      </c>
    </row>
    <row r="10" spans="1:8">
      <c r="A10" s="4" t="s">
        <v>42</v>
      </c>
      <c r="B10" s="5" t="s">
        <v>34</v>
      </c>
      <c r="D10" s="12" t="s">
        <v>44</v>
      </c>
      <c r="E10" s="12"/>
      <c r="F10" s="12"/>
      <c r="G10" s="12"/>
      <c r="H10" s="12"/>
    </row>
    <row r="11" spans="1:8">
      <c r="D11" s="13" t="s">
        <v>45</v>
      </c>
      <c r="E11" s="13"/>
      <c r="F11" s="13"/>
      <c r="G11" s="13"/>
      <c r="H11" s="13"/>
    </row>
    <row r="12" spans="1:8">
      <c r="D12" s="13"/>
      <c r="E12" s="13"/>
      <c r="F12" s="13"/>
      <c r="G12" s="13"/>
      <c r="H12" s="13"/>
    </row>
    <row r="13" spans="1:8">
      <c r="D13" s="13"/>
      <c r="E13" s="13"/>
      <c r="F13" s="13"/>
      <c r="G13" s="13"/>
      <c r="H13" s="13"/>
    </row>
    <row r="14" spans="1:8">
      <c r="D14" s="13"/>
      <c r="E14" s="13"/>
      <c r="F14" s="13"/>
      <c r="G14" s="13"/>
      <c r="H14" s="13"/>
    </row>
    <row r="15" spans="1:8">
      <c r="D15" s="13"/>
      <c r="E15" s="13"/>
      <c r="F15" s="13"/>
      <c r="G15" s="13"/>
      <c r="H15" s="13"/>
    </row>
  </sheetData>
  <mergeCells count="4">
    <mergeCell ref="A1:H1"/>
    <mergeCell ref="D3:H3"/>
    <mergeCell ref="D10:H10"/>
    <mergeCell ref="D11:H15"/>
  </mergeCells>
  <dataValidations count="1">
    <dataValidation type="list" sqref="B10" xr:uid="{00000000-0002-0000-0100-000000000000}">
      <formula1>"Not Started,In Progress,Completed,Blocked"</formula1>
    </dataValidation>
  </dataValidations>
  <hyperlinks>
    <hyperlink ref="B8" r:id="rId1" xr:uid="{53764422-B141-4174-8C64-40338ECB276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
  <sheetViews>
    <sheetView zoomScale="73" workbookViewId="0">
      <selection activeCell="I17" sqref="I17"/>
    </sheetView>
  </sheetViews>
  <sheetFormatPr defaultRowHeight="13.8"/>
  <cols>
    <col min="1" max="1" width="11" customWidth="1"/>
    <col min="2" max="2" width="26" customWidth="1"/>
    <col min="3" max="3" width="44" customWidth="1"/>
    <col min="4" max="4" width="25" customWidth="1"/>
    <col min="5" max="5" width="15" style="25" customWidth="1"/>
    <col min="6" max="6" width="17.3984375" customWidth="1"/>
    <col min="7" max="7" width="15" customWidth="1"/>
    <col min="8" max="8" width="12" style="22" customWidth="1"/>
    <col min="9" max="10" width="34" customWidth="1"/>
  </cols>
  <sheetData>
    <row r="1" spans="1:10" ht="27.15" customHeight="1">
      <c r="A1" s="10" t="s">
        <v>46</v>
      </c>
      <c r="B1" s="10"/>
      <c r="C1" s="10"/>
      <c r="D1" s="10"/>
      <c r="E1" s="10"/>
      <c r="F1" s="10"/>
      <c r="G1" s="10"/>
      <c r="H1" s="10"/>
      <c r="I1" s="10"/>
      <c r="J1" s="10"/>
    </row>
    <row r="3" spans="1:10" ht="24" customHeight="1">
      <c r="A3" s="1" t="s">
        <v>47</v>
      </c>
      <c r="B3" s="1" t="s">
        <v>48</v>
      </c>
      <c r="C3" s="1" t="s">
        <v>49</v>
      </c>
      <c r="D3" s="1" t="s">
        <v>50</v>
      </c>
      <c r="E3" s="23" t="s">
        <v>51</v>
      </c>
      <c r="F3" s="1" t="s">
        <v>52</v>
      </c>
      <c r="G3" s="1" t="s">
        <v>53</v>
      </c>
      <c r="H3" s="20" t="s">
        <v>54</v>
      </c>
      <c r="I3" s="1" t="s">
        <v>55</v>
      </c>
      <c r="J3" s="1" t="s">
        <v>56</v>
      </c>
    </row>
    <row r="4" spans="1:10" ht="27.6">
      <c r="A4" s="2" t="s">
        <v>57</v>
      </c>
      <c r="B4" s="2" t="s">
        <v>58</v>
      </c>
      <c r="C4" s="2" t="s">
        <v>59</v>
      </c>
      <c r="D4" s="5" t="s">
        <v>274</v>
      </c>
      <c r="E4" s="24">
        <v>44465</v>
      </c>
      <c r="F4" s="5" t="s">
        <v>174</v>
      </c>
      <c r="G4" s="5" t="s">
        <v>34</v>
      </c>
      <c r="H4" s="21">
        <v>1</v>
      </c>
      <c r="I4" s="19" t="s">
        <v>241</v>
      </c>
      <c r="J4" s="5"/>
    </row>
    <row r="5" spans="1:10" ht="27.6">
      <c r="A5" s="2" t="s">
        <v>60</v>
      </c>
      <c r="B5" s="2" t="s">
        <v>61</v>
      </c>
      <c r="C5" s="2" t="s">
        <v>62</v>
      </c>
      <c r="D5" s="5" t="s">
        <v>159</v>
      </c>
      <c r="E5" s="24">
        <v>44465</v>
      </c>
      <c r="F5" s="5" t="s">
        <v>175</v>
      </c>
      <c r="G5" s="5" t="s">
        <v>34</v>
      </c>
      <c r="H5" s="21">
        <v>1</v>
      </c>
      <c r="I5" s="19" t="s">
        <v>242</v>
      </c>
      <c r="J5" s="5"/>
    </row>
    <row r="6" spans="1:10" ht="27.6">
      <c r="A6" s="2" t="s">
        <v>63</v>
      </c>
      <c r="B6" s="2" t="s">
        <v>240</v>
      </c>
      <c r="C6" s="2" t="s">
        <v>65</v>
      </c>
      <c r="D6" s="5" t="s">
        <v>160</v>
      </c>
      <c r="E6" s="24">
        <v>44465</v>
      </c>
      <c r="F6" s="5" t="s">
        <v>176</v>
      </c>
      <c r="G6" s="5" t="s">
        <v>34</v>
      </c>
      <c r="H6" s="21">
        <v>1</v>
      </c>
      <c r="I6" s="19" t="s">
        <v>243</v>
      </c>
      <c r="J6" s="5"/>
    </row>
    <row r="7" spans="1:10">
      <c r="A7" s="2" t="s">
        <v>66</v>
      </c>
      <c r="B7" s="2" t="s">
        <v>239</v>
      </c>
      <c r="C7" s="2" t="s">
        <v>68</v>
      </c>
      <c r="D7" s="5" t="s">
        <v>160</v>
      </c>
      <c r="E7" s="24">
        <v>44465</v>
      </c>
      <c r="F7" s="5" t="s">
        <v>173</v>
      </c>
      <c r="G7" s="5" t="s">
        <v>34</v>
      </c>
      <c r="H7" s="21">
        <v>1</v>
      </c>
      <c r="I7" s="19" t="s">
        <v>244</v>
      </c>
      <c r="J7" s="5"/>
    </row>
    <row r="8" spans="1:10" ht="27.6">
      <c r="A8" s="2" t="s">
        <v>69</v>
      </c>
      <c r="B8" s="2" t="s">
        <v>70</v>
      </c>
      <c r="C8" s="2" t="s">
        <v>71</v>
      </c>
      <c r="D8" s="5" t="s">
        <v>161</v>
      </c>
      <c r="E8" s="24">
        <v>44465</v>
      </c>
      <c r="F8" s="5" t="s">
        <v>173</v>
      </c>
      <c r="G8" s="5" t="s">
        <v>34</v>
      </c>
      <c r="H8" s="21">
        <v>1</v>
      </c>
      <c r="I8" s="19" t="s">
        <v>233</v>
      </c>
      <c r="J8" s="5"/>
    </row>
    <row r="9" spans="1:10" ht="27.6">
      <c r="A9" s="2" t="s">
        <v>72</v>
      </c>
      <c r="B9" s="2" t="s">
        <v>73</v>
      </c>
      <c r="C9" s="2" t="s">
        <v>74</v>
      </c>
      <c r="D9" s="5" t="s">
        <v>162</v>
      </c>
      <c r="E9" s="24">
        <v>44465</v>
      </c>
      <c r="F9" s="5" t="s">
        <v>177</v>
      </c>
      <c r="G9" s="5" t="s">
        <v>34</v>
      </c>
      <c r="H9" s="21">
        <v>1</v>
      </c>
      <c r="I9" s="19" t="s">
        <v>233</v>
      </c>
      <c r="J9" s="5"/>
    </row>
    <row r="10" spans="1:10" ht="41.4">
      <c r="A10" s="2" t="s">
        <v>75</v>
      </c>
      <c r="B10" s="2" t="s">
        <v>76</v>
      </c>
      <c r="C10" s="2" t="s">
        <v>77</v>
      </c>
      <c r="D10" s="5" t="s">
        <v>163</v>
      </c>
      <c r="E10" s="24">
        <v>44465</v>
      </c>
      <c r="F10" s="5" t="s">
        <v>173</v>
      </c>
      <c r="G10" s="5" t="s">
        <v>34</v>
      </c>
      <c r="H10" s="21">
        <v>1</v>
      </c>
      <c r="I10" s="19" t="s">
        <v>245</v>
      </c>
      <c r="J10" s="5"/>
    </row>
    <row r="11" spans="1:10" ht="27.6">
      <c r="A11" s="2" t="s">
        <v>78</v>
      </c>
      <c r="B11" s="2" t="s">
        <v>79</v>
      </c>
      <c r="C11" s="2" t="s">
        <v>80</v>
      </c>
      <c r="D11" s="5" t="s">
        <v>164</v>
      </c>
      <c r="E11" s="24">
        <v>44465</v>
      </c>
      <c r="F11" s="5" t="s">
        <v>174</v>
      </c>
      <c r="G11" s="5" t="s">
        <v>34</v>
      </c>
      <c r="H11" s="21">
        <v>1</v>
      </c>
      <c r="I11" s="5" t="s">
        <v>234</v>
      </c>
      <c r="J11" s="5"/>
    </row>
    <row r="12" spans="1:10" ht="27.6">
      <c r="A12" s="2" t="s">
        <v>81</v>
      </c>
      <c r="B12" s="2" t="s">
        <v>82</v>
      </c>
      <c r="C12" s="2" t="s">
        <v>83</v>
      </c>
      <c r="D12" s="5" t="s">
        <v>165</v>
      </c>
      <c r="E12" s="24">
        <v>44465</v>
      </c>
      <c r="F12" s="5" t="s">
        <v>178</v>
      </c>
      <c r="G12" s="5" t="s">
        <v>34</v>
      </c>
      <c r="H12" s="21">
        <v>1</v>
      </c>
      <c r="I12" s="5" t="s">
        <v>235</v>
      </c>
      <c r="J12" s="5"/>
    </row>
    <row r="13" spans="1:10" ht="27.6">
      <c r="A13" s="2" t="s">
        <v>84</v>
      </c>
      <c r="B13" s="2" t="s">
        <v>85</v>
      </c>
      <c r="C13" s="2" t="s">
        <v>86</v>
      </c>
      <c r="D13" s="5" t="s">
        <v>166</v>
      </c>
      <c r="E13" s="24">
        <v>44465</v>
      </c>
      <c r="F13" s="5" t="s">
        <v>179</v>
      </c>
      <c r="G13" s="5" t="s">
        <v>34</v>
      </c>
      <c r="H13" s="21">
        <v>1</v>
      </c>
      <c r="I13" s="5" t="s">
        <v>235</v>
      </c>
      <c r="J13" s="5"/>
    </row>
    <row r="14" spans="1:10" ht="27.6">
      <c r="A14" s="2" t="s">
        <v>87</v>
      </c>
      <c r="B14" s="2" t="s">
        <v>88</v>
      </c>
      <c r="C14" s="2" t="s">
        <v>89</v>
      </c>
      <c r="D14" s="5" t="s">
        <v>167</v>
      </c>
      <c r="E14" s="24">
        <v>44465</v>
      </c>
      <c r="F14" s="5" t="s">
        <v>178</v>
      </c>
      <c r="G14" s="5" t="s">
        <v>34</v>
      </c>
      <c r="H14" s="21">
        <v>1</v>
      </c>
      <c r="I14" s="19" t="s">
        <v>237</v>
      </c>
      <c r="J14" s="5"/>
    </row>
    <row r="15" spans="1:10">
      <c r="A15" s="2" t="s">
        <v>90</v>
      </c>
      <c r="B15" s="2" t="s">
        <v>91</v>
      </c>
      <c r="C15" s="2" t="s">
        <v>92</v>
      </c>
      <c r="D15" s="5" t="s">
        <v>167</v>
      </c>
      <c r="E15" s="24">
        <v>44465</v>
      </c>
      <c r="F15" s="5" t="s">
        <v>180</v>
      </c>
      <c r="G15" s="5" t="s">
        <v>43</v>
      </c>
      <c r="H15" s="21">
        <v>0</v>
      </c>
      <c r="I15" s="5" t="s">
        <v>236</v>
      </c>
      <c r="J15" s="5"/>
    </row>
    <row r="16" spans="1:10">
      <c r="A16" s="2"/>
      <c r="B16" s="2"/>
      <c r="C16" s="2"/>
      <c r="D16" s="5"/>
      <c r="E16" s="24"/>
      <c r="F16" s="5"/>
      <c r="G16" s="5"/>
      <c r="H16" s="21"/>
      <c r="I16" s="5"/>
      <c r="J16" s="5"/>
    </row>
    <row r="17" spans="1:10">
      <c r="A17" s="2"/>
      <c r="B17" s="2"/>
      <c r="C17" s="2"/>
      <c r="D17" s="5"/>
      <c r="E17" s="24"/>
      <c r="F17" s="5"/>
      <c r="G17" s="5"/>
      <c r="H17" s="21"/>
      <c r="I17" s="5"/>
      <c r="J17" s="5"/>
    </row>
    <row r="18" spans="1:10">
      <c r="A18" s="2"/>
      <c r="B18" s="2"/>
      <c r="C18" s="2"/>
      <c r="D18" s="5"/>
      <c r="E18" s="24"/>
      <c r="F18" s="5"/>
      <c r="G18" s="5"/>
      <c r="H18" s="21"/>
      <c r="I18" s="5"/>
      <c r="J18" s="5"/>
    </row>
    <row r="19" spans="1:10">
      <c r="A19" s="2"/>
      <c r="B19" s="2"/>
      <c r="C19" s="2"/>
      <c r="D19" s="5"/>
      <c r="E19" s="24"/>
      <c r="F19" s="5"/>
      <c r="G19" s="5"/>
      <c r="H19" s="21"/>
      <c r="I19" s="5"/>
      <c r="J19" s="5"/>
    </row>
    <row r="20" spans="1:10">
      <c r="A20" s="2"/>
      <c r="B20" s="2"/>
      <c r="C20" s="2"/>
      <c r="D20" s="5"/>
      <c r="E20" s="24"/>
      <c r="F20" s="5"/>
      <c r="G20" s="5"/>
      <c r="H20" s="21"/>
      <c r="I20" s="5"/>
      <c r="J20" s="5"/>
    </row>
    <row r="21" spans="1:10">
      <c r="A21" s="2"/>
      <c r="B21" s="2"/>
      <c r="C21" s="2"/>
      <c r="D21" s="5"/>
      <c r="E21" s="24"/>
      <c r="F21" s="5"/>
      <c r="G21" s="5"/>
      <c r="H21" s="21"/>
      <c r="I21" s="5"/>
      <c r="J21" s="5"/>
    </row>
    <row r="22" spans="1:10">
      <c r="A22" s="2"/>
      <c r="B22" s="2"/>
      <c r="C22" s="2"/>
      <c r="D22" s="5"/>
      <c r="E22" s="24"/>
      <c r="F22" s="5"/>
      <c r="G22" s="5"/>
      <c r="H22" s="21"/>
      <c r="I22" s="5"/>
      <c r="J22" s="5"/>
    </row>
    <row r="23" spans="1:10">
      <c r="A23" s="2"/>
      <c r="B23" s="2"/>
      <c r="C23" s="2"/>
      <c r="D23" s="5"/>
      <c r="E23" s="24"/>
      <c r="F23" s="5"/>
      <c r="G23" s="5"/>
      <c r="H23" s="21"/>
      <c r="I23" s="5"/>
      <c r="J23" s="5"/>
    </row>
    <row r="24" spans="1:10">
      <c r="A24" s="2"/>
      <c r="B24" s="2"/>
      <c r="C24" s="2"/>
      <c r="D24" s="5"/>
      <c r="E24" s="24"/>
      <c r="F24" s="5"/>
      <c r="G24" s="5"/>
      <c r="H24" s="21"/>
      <c r="I24" s="5"/>
      <c r="J24" s="5"/>
    </row>
    <row r="25" spans="1:10">
      <c r="A25" s="2"/>
      <c r="B25" s="2"/>
      <c r="C25" s="2"/>
      <c r="D25" s="5"/>
      <c r="E25" s="24"/>
      <c r="F25" s="5"/>
      <c r="G25" s="5"/>
      <c r="H25" s="21"/>
      <c r="I25" s="5"/>
      <c r="J25" s="5"/>
    </row>
    <row r="26" spans="1:10">
      <c r="A26" s="2"/>
      <c r="B26" s="2"/>
      <c r="C26" s="2"/>
      <c r="D26" s="5"/>
      <c r="E26" s="24"/>
      <c r="F26" s="5"/>
      <c r="G26" s="5"/>
      <c r="H26" s="21"/>
      <c r="I26" s="5"/>
      <c r="J26" s="5"/>
    </row>
    <row r="27" spans="1:10">
      <c r="A27" s="2"/>
      <c r="B27" s="2"/>
      <c r="C27" s="2"/>
      <c r="D27" s="5"/>
      <c r="E27" s="24"/>
      <c r="F27" s="5"/>
      <c r="G27" s="5"/>
      <c r="H27" s="21"/>
      <c r="I27" s="5"/>
      <c r="J27" s="5"/>
    </row>
    <row r="28" spans="1:10">
      <c r="A28" s="2"/>
      <c r="B28" s="2"/>
      <c r="C28" s="2"/>
      <c r="D28" s="5"/>
      <c r="E28" s="24"/>
      <c r="F28" s="5"/>
      <c r="G28" s="5"/>
      <c r="H28" s="21"/>
      <c r="I28" s="5"/>
      <c r="J28" s="5"/>
    </row>
    <row r="29" spans="1:10">
      <c r="A29" s="2"/>
      <c r="B29" s="2"/>
      <c r="C29" s="2"/>
      <c r="D29" s="5"/>
      <c r="E29" s="24"/>
      <c r="F29" s="5"/>
      <c r="G29" s="5"/>
      <c r="H29" s="21"/>
      <c r="I29" s="5"/>
      <c r="J29" s="5"/>
    </row>
    <row r="30" spans="1:10">
      <c r="A30" s="2"/>
      <c r="B30" s="2"/>
      <c r="C30" s="2"/>
      <c r="D30" s="5"/>
      <c r="E30" s="24"/>
      <c r="F30" s="5"/>
      <c r="G30" s="5"/>
      <c r="H30" s="21"/>
      <c r="I30" s="5"/>
      <c r="J30" s="5"/>
    </row>
    <row r="31" spans="1:10">
      <c r="A31" s="2"/>
      <c r="B31" s="2"/>
      <c r="C31" s="2"/>
      <c r="D31" s="5"/>
      <c r="E31" s="24"/>
      <c r="F31" s="5"/>
      <c r="G31" s="5"/>
      <c r="H31" s="21"/>
      <c r="I31" s="5"/>
      <c r="J31" s="5"/>
    </row>
    <row r="32" spans="1:10">
      <c r="A32" s="2"/>
      <c r="B32" s="2"/>
      <c r="C32" s="2"/>
      <c r="D32" s="5"/>
      <c r="E32" s="24"/>
      <c r="F32" s="5"/>
      <c r="G32" s="5"/>
      <c r="H32" s="21"/>
      <c r="I32" s="5"/>
      <c r="J32" s="5"/>
    </row>
    <row r="33" spans="1:10">
      <c r="A33" s="2"/>
      <c r="B33" s="2"/>
      <c r="C33" s="2"/>
      <c r="D33" s="5"/>
      <c r="E33" s="24"/>
      <c r="F33" s="5"/>
      <c r="G33" s="5"/>
      <c r="H33" s="21"/>
      <c r="I33" s="5"/>
      <c r="J33" s="5"/>
    </row>
  </sheetData>
  <mergeCells count="1">
    <mergeCell ref="A1:J1"/>
  </mergeCells>
  <conditionalFormatting sqref="G4:G33">
    <cfRule type="expression" dxfId="4" priority="1">
      <formula>G4="Completed"</formula>
    </cfRule>
    <cfRule type="expression" dxfId="3" priority="2">
      <formula>G4="Blocked"</formula>
    </cfRule>
  </conditionalFormatting>
  <conditionalFormatting sqref="H4:H33">
    <cfRule type="dataBar" priority="3">
      <dataBar>
        <cfvo type="min"/>
        <cfvo type="max"/>
        <color rgb="FFA02B93"/>
      </dataBar>
    </cfRule>
  </conditionalFormatting>
  <conditionalFormatting sqref="H4:H33">
    <cfRule type="dataBar" priority="4">
      <dataBar>
        <cfvo type="min"/>
        <cfvo type="max"/>
        <color rgb="FFA02B93"/>
      </dataBar>
      <extLst>
        <ext xmlns:x14="http://schemas.microsoft.com/office/spreadsheetml/2009/9/main" uri="{B025F937-C7B1-47D3-B67F-A62EFF666E3E}">
          <x14:id>{A4682585-4117-09FE-7F56-FC8BDAE995FA}</x14:id>
        </ext>
      </extLst>
    </cfRule>
  </conditionalFormatting>
  <dataValidations count="2">
    <dataValidation type="list" sqref="G4:G33" xr:uid="{00000000-0002-0000-0200-000000000000}">
      <formula1>"Not Started,In Progress,Completed,Blocked"</formula1>
    </dataValidation>
    <dataValidation type="list" allowBlank="1" showInputMessage="1" showErrorMessage="1" sqref="H1:H1048576" xr:uid="{31129FCC-E52E-4D44-BBBA-60570E590D54}">
      <formula1>"0%,25%,50%,75%,100%"</formula1>
    </dataValidation>
  </dataValidations>
  <hyperlinks>
    <hyperlink ref="I4" r:id="rId1" xr:uid="{88B5CCF8-4F47-4633-9614-6EA29F069EAC}"/>
    <hyperlink ref="I8" r:id="rId2" xr:uid="{1CE33165-3369-4718-A78F-7FE2CDA6BE99}"/>
    <hyperlink ref="I14" r:id="rId3" xr:uid="{854F558A-EEB3-4C50-B92D-D365D08C981A}"/>
    <hyperlink ref="I5" r:id="rId4" xr:uid="{4E49EF8A-7B68-4EB3-8328-10803D579722}"/>
  </hyperlinks>
  <pageMargins left="0.7" right="0.7" top="0.75" bottom="0.75" header="0.3" footer="0.3"/>
  <pageSetup paperSize="9" orientation="portrait" horizontalDpi="4294967293" verticalDpi="0" r:id="rId5"/>
  <extLst>
    <ext xmlns:x14="http://schemas.microsoft.com/office/spreadsheetml/2009/9/main" uri="{78C0D931-6437-407d-A8EE-F0AAD7539E65}">
      <x14:conditionalFormattings>
        <x14:conditionalFormatting xmlns:xm="http://schemas.microsoft.com/office/excel/2006/main">
          <x14:cfRule type="dataBar" id="{A4682585-4117-09FE-7F56-FC8BDAE995FA}">
            <x14:dataBar>
              <x14:cfvo type="min"/>
              <x14:cfvo type="max"/>
              <x14:negativeFillColor auto="1"/>
              <x14:axisColor auto="1"/>
            </x14:dataBar>
          </x14:cfRule>
          <xm:sqref>H4:H33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3"/>
  <sheetViews>
    <sheetView topLeftCell="F1" zoomScale="82" workbookViewId="0">
      <selection activeCell="K11" sqref="K11"/>
    </sheetView>
  </sheetViews>
  <sheetFormatPr defaultRowHeight="13.8"/>
  <cols>
    <col min="1" max="1" width="22" customWidth="1"/>
    <col min="2" max="2" width="16" customWidth="1"/>
    <col min="3" max="3" width="23.69921875" bestFit="1" customWidth="1"/>
    <col min="4" max="4" width="33.8984375" bestFit="1" customWidth="1"/>
    <col min="5" max="5" width="49" bestFit="1" customWidth="1"/>
    <col min="6" max="6" width="15" customWidth="1"/>
    <col min="7" max="7" width="12" customWidth="1"/>
    <col min="8" max="8" width="34" customWidth="1"/>
    <col min="9" max="10" width="15" customWidth="1"/>
    <col min="11" max="11" width="34" customWidth="1"/>
    <col min="12" max="12" width="16" customWidth="1"/>
  </cols>
  <sheetData>
    <row r="1" spans="1:12" ht="27.15" customHeight="1">
      <c r="A1" s="10" t="s">
        <v>93</v>
      </c>
      <c r="B1" s="10"/>
      <c r="C1" s="10"/>
      <c r="D1" s="10"/>
      <c r="E1" s="10"/>
      <c r="F1" s="10"/>
      <c r="G1" s="10"/>
      <c r="H1" s="10"/>
      <c r="I1" s="10"/>
      <c r="J1" s="10"/>
      <c r="K1" s="10"/>
      <c r="L1" s="10"/>
    </row>
    <row r="3" spans="1:12" ht="24" customHeight="1">
      <c r="A3" s="1" t="s">
        <v>94</v>
      </c>
      <c r="B3" s="1" t="s">
        <v>95</v>
      </c>
      <c r="C3" s="1" t="s">
        <v>96</v>
      </c>
      <c r="D3" s="1" t="s">
        <v>97</v>
      </c>
      <c r="E3" s="1" t="s">
        <v>98</v>
      </c>
      <c r="F3" s="1" t="s">
        <v>99</v>
      </c>
      <c r="G3" s="1" t="s">
        <v>100</v>
      </c>
      <c r="H3" s="1" t="s">
        <v>55</v>
      </c>
      <c r="I3" s="1" t="s">
        <v>101</v>
      </c>
      <c r="J3" s="1" t="s">
        <v>102</v>
      </c>
      <c r="K3" s="1" t="s">
        <v>103</v>
      </c>
      <c r="L3" s="1" t="s">
        <v>104</v>
      </c>
    </row>
    <row r="4" spans="1:12" ht="58.8" customHeight="1">
      <c r="A4" s="5" t="s">
        <v>152</v>
      </c>
      <c r="B4" s="5">
        <v>224091294</v>
      </c>
      <c r="C4" s="5" t="s">
        <v>182</v>
      </c>
      <c r="D4" s="5" t="s">
        <v>187</v>
      </c>
      <c r="E4" s="5" t="s">
        <v>188</v>
      </c>
      <c r="F4" s="5" t="s">
        <v>173</v>
      </c>
      <c r="G4" s="5" t="s">
        <v>223</v>
      </c>
      <c r="H4" s="5" t="s">
        <v>238</v>
      </c>
      <c r="I4" s="5" t="s">
        <v>172</v>
      </c>
      <c r="J4" s="5" t="s">
        <v>173</v>
      </c>
      <c r="K4" s="5" t="s">
        <v>224</v>
      </c>
      <c r="L4" s="5" t="s">
        <v>34</v>
      </c>
    </row>
    <row r="5" spans="1:12" ht="55.2">
      <c r="A5" s="5" t="s">
        <v>168</v>
      </c>
      <c r="B5" s="5">
        <v>222082043</v>
      </c>
      <c r="C5" s="5" t="s">
        <v>190</v>
      </c>
      <c r="D5" s="5" t="s">
        <v>191</v>
      </c>
      <c r="E5" s="5" t="s">
        <v>192</v>
      </c>
      <c r="F5" s="5" t="s">
        <v>179</v>
      </c>
      <c r="G5" s="5" t="s">
        <v>221</v>
      </c>
      <c r="H5" s="5" t="s">
        <v>225</v>
      </c>
      <c r="I5" s="5" t="s">
        <v>172</v>
      </c>
      <c r="J5" s="5" t="s">
        <v>173</v>
      </c>
      <c r="K5" s="5" t="s">
        <v>224</v>
      </c>
      <c r="L5" s="5" t="s">
        <v>34</v>
      </c>
    </row>
    <row r="6" spans="1:12" ht="41.4">
      <c r="A6" s="5" t="s">
        <v>169</v>
      </c>
      <c r="B6" s="5">
        <v>224132354</v>
      </c>
      <c r="C6" s="5" t="s">
        <v>183</v>
      </c>
      <c r="D6" s="5" t="s">
        <v>193</v>
      </c>
      <c r="E6" s="5" t="s">
        <v>194</v>
      </c>
      <c r="F6" s="5" t="s">
        <v>173</v>
      </c>
      <c r="G6" s="5" t="s">
        <v>221</v>
      </c>
      <c r="H6" s="5" t="s">
        <v>226</v>
      </c>
      <c r="I6" s="5" t="s">
        <v>172</v>
      </c>
      <c r="J6" s="5" t="s">
        <v>173</v>
      </c>
      <c r="K6" s="5" t="s">
        <v>224</v>
      </c>
      <c r="L6" s="5" t="s">
        <v>34</v>
      </c>
    </row>
    <row r="7" spans="1:12" ht="55.2">
      <c r="A7" s="5" t="s">
        <v>158</v>
      </c>
      <c r="B7" s="5">
        <v>221045002</v>
      </c>
      <c r="C7" s="5" t="s">
        <v>189</v>
      </c>
      <c r="D7" s="5" t="s">
        <v>195</v>
      </c>
      <c r="E7" s="5" t="s">
        <v>196</v>
      </c>
      <c r="F7" s="5" t="s">
        <v>174</v>
      </c>
      <c r="G7" s="5" t="s">
        <v>181</v>
      </c>
      <c r="H7" s="5" t="s">
        <v>246</v>
      </c>
      <c r="I7" s="5" t="s">
        <v>172</v>
      </c>
      <c r="J7" s="5" t="s">
        <v>173</v>
      </c>
      <c r="K7" s="5" t="s">
        <v>224</v>
      </c>
      <c r="L7" s="5" t="s">
        <v>34</v>
      </c>
    </row>
    <row r="8" spans="1:12" ht="41.4">
      <c r="A8" s="5" t="s">
        <v>159</v>
      </c>
      <c r="B8" s="5">
        <v>224036084</v>
      </c>
      <c r="C8" s="5" t="s">
        <v>184</v>
      </c>
      <c r="D8" s="5" t="s">
        <v>197</v>
      </c>
      <c r="E8" s="5" t="s">
        <v>198</v>
      </c>
      <c r="F8" s="5" t="s">
        <v>175</v>
      </c>
      <c r="G8" s="5" t="s">
        <v>219</v>
      </c>
      <c r="H8" s="5" t="s">
        <v>247</v>
      </c>
      <c r="I8" s="5" t="s">
        <v>172</v>
      </c>
      <c r="J8" s="5" t="s">
        <v>173</v>
      </c>
      <c r="K8" s="5" t="s">
        <v>224</v>
      </c>
      <c r="L8" s="5" t="s">
        <v>34</v>
      </c>
    </row>
    <row r="9" spans="1:12" ht="55.2">
      <c r="A9" s="5" t="s">
        <v>160</v>
      </c>
      <c r="B9" s="5">
        <v>223022927</v>
      </c>
      <c r="C9" s="5" t="s">
        <v>185</v>
      </c>
      <c r="D9" s="5" t="s">
        <v>199</v>
      </c>
      <c r="E9" s="5" t="s">
        <v>200</v>
      </c>
      <c r="F9" s="5" t="s">
        <v>176</v>
      </c>
      <c r="G9" s="5" t="s">
        <v>220</v>
      </c>
      <c r="H9" s="5" t="s">
        <v>248</v>
      </c>
      <c r="I9" s="5" t="s">
        <v>172</v>
      </c>
      <c r="J9" s="5" t="s">
        <v>173</v>
      </c>
      <c r="K9" s="5" t="s">
        <v>224</v>
      </c>
      <c r="L9" s="5" t="s">
        <v>34</v>
      </c>
    </row>
    <row r="10" spans="1:12" ht="41.4">
      <c r="A10" s="5" t="s">
        <v>170</v>
      </c>
      <c r="B10" s="5">
        <v>224063836</v>
      </c>
      <c r="C10" s="5" t="s">
        <v>186</v>
      </c>
      <c r="D10" s="5" t="s">
        <v>201</v>
      </c>
      <c r="E10" s="5" t="s">
        <v>202</v>
      </c>
      <c r="F10" s="5" t="s">
        <v>173</v>
      </c>
      <c r="G10" s="5" t="s">
        <v>222</v>
      </c>
      <c r="H10" s="5" t="s">
        <v>249</v>
      </c>
      <c r="I10" s="5" t="s">
        <v>172</v>
      </c>
      <c r="J10" s="5" t="s">
        <v>173</v>
      </c>
      <c r="K10" s="5" t="s">
        <v>224</v>
      </c>
      <c r="L10" s="5" t="s">
        <v>34</v>
      </c>
    </row>
    <row r="11" spans="1:12" ht="41.4">
      <c r="A11" s="5" t="s">
        <v>171</v>
      </c>
      <c r="B11" s="5">
        <v>223013027</v>
      </c>
      <c r="C11" s="5" t="s">
        <v>186</v>
      </c>
      <c r="D11" s="5" t="s">
        <v>203</v>
      </c>
      <c r="E11" s="5" t="s">
        <v>204</v>
      </c>
      <c r="F11" s="5" t="s">
        <v>173</v>
      </c>
      <c r="G11" s="5" t="s">
        <v>222</v>
      </c>
      <c r="H11" s="5" t="s">
        <v>250</v>
      </c>
      <c r="I11" s="5" t="s">
        <v>172</v>
      </c>
      <c r="J11" s="5" t="s">
        <v>173</v>
      </c>
      <c r="K11" s="5" t="s">
        <v>224</v>
      </c>
      <c r="L11" s="5" t="s">
        <v>34</v>
      </c>
    </row>
    <row r="12" spans="1:12">
      <c r="A12" s="5"/>
      <c r="B12" s="5"/>
      <c r="C12" s="5"/>
      <c r="D12" s="5"/>
      <c r="E12" s="5"/>
      <c r="F12" s="5"/>
      <c r="G12" s="5"/>
      <c r="H12" s="5"/>
      <c r="I12" s="5" t="s">
        <v>105</v>
      </c>
      <c r="J12" s="5"/>
      <c r="K12" s="5"/>
      <c r="L12" s="5" t="s">
        <v>43</v>
      </c>
    </row>
    <row r="13" spans="1:12">
      <c r="A13" s="5"/>
      <c r="B13" s="5"/>
      <c r="C13" s="5"/>
      <c r="D13" s="5"/>
      <c r="E13" s="5"/>
      <c r="F13" s="5"/>
      <c r="G13" s="5"/>
      <c r="H13" s="5"/>
      <c r="I13" s="5" t="s">
        <v>105</v>
      </c>
      <c r="J13" s="5"/>
      <c r="K13" s="5"/>
      <c r="L13" s="5" t="s">
        <v>43</v>
      </c>
    </row>
    <row r="14" spans="1:12">
      <c r="A14" s="5"/>
      <c r="B14" s="5"/>
      <c r="C14" s="5"/>
      <c r="D14" s="5"/>
      <c r="E14" s="5"/>
      <c r="F14" s="5"/>
      <c r="G14" s="5"/>
      <c r="H14" s="5"/>
      <c r="I14" s="5" t="s">
        <v>105</v>
      </c>
      <c r="J14" s="5"/>
      <c r="K14" s="5"/>
      <c r="L14" s="5" t="s">
        <v>43</v>
      </c>
    </row>
    <row r="15" spans="1:12">
      <c r="A15" s="5"/>
      <c r="B15" s="5"/>
      <c r="C15" s="5"/>
      <c r="D15" s="5"/>
      <c r="E15" s="5"/>
      <c r="F15" s="5"/>
      <c r="G15" s="5"/>
      <c r="H15" s="5"/>
      <c r="I15" s="5" t="s">
        <v>105</v>
      </c>
      <c r="J15" s="5"/>
      <c r="K15" s="5"/>
      <c r="L15" s="5" t="s">
        <v>43</v>
      </c>
    </row>
    <row r="16" spans="1:12">
      <c r="A16" s="5"/>
      <c r="B16" s="5"/>
      <c r="C16" s="5"/>
      <c r="D16" s="5"/>
      <c r="E16" s="5"/>
      <c r="F16" s="5"/>
      <c r="G16" s="5"/>
      <c r="H16" s="5"/>
      <c r="I16" s="5" t="s">
        <v>105</v>
      </c>
      <c r="J16" s="5"/>
      <c r="K16" s="5"/>
      <c r="L16" s="5" t="s">
        <v>43</v>
      </c>
    </row>
    <row r="17" spans="1:12">
      <c r="A17" s="5"/>
      <c r="B17" s="5"/>
      <c r="C17" s="5"/>
      <c r="D17" s="5"/>
      <c r="E17" s="5"/>
      <c r="F17" s="5"/>
      <c r="G17" s="5"/>
      <c r="H17" s="5"/>
      <c r="I17" s="5" t="s">
        <v>105</v>
      </c>
      <c r="J17" s="5"/>
      <c r="K17" s="5"/>
      <c r="L17" s="5" t="s">
        <v>43</v>
      </c>
    </row>
    <row r="18" spans="1:12">
      <c r="A18" s="5"/>
      <c r="B18" s="5"/>
      <c r="C18" s="5"/>
      <c r="D18" s="5"/>
      <c r="E18" s="5"/>
      <c r="F18" s="5"/>
      <c r="G18" s="5"/>
      <c r="H18" s="5"/>
      <c r="I18" s="5" t="s">
        <v>105</v>
      </c>
      <c r="J18" s="5"/>
      <c r="K18" s="5"/>
      <c r="L18" s="5" t="s">
        <v>43</v>
      </c>
    </row>
    <row r="19" spans="1:12">
      <c r="A19" s="5"/>
      <c r="B19" s="5"/>
      <c r="C19" s="5"/>
      <c r="D19" s="5"/>
      <c r="E19" s="5"/>
      <c r="F19" s="5"/>
      <c r="G19" s="5"/>
      <c r="H19" s="5"/>
      <c r="I19" s="5" t="s">
        <v>105</v>
      </c>
      <c r="J19" s="5"/>
      <c r="K19" s="5"/>
      <c r="L19" s="5" t="s">
        <v>43</v>
      </c>
    </row>
    <row r="20" spans="1:12">
      <c r="A20" s="5"/>
      <c r="B20" s="5"/>
      <c r="C20" s="5"/>
      <c r="D20" s="5"/>
      <c r="E20" s="5"/>
      <c r="F20" s="5"/>
      <c r="G20" s="5"/>
      <c r="H20" s="5"/>
      <c r="I20" s="5" t="s">
        <v>105</v>
      </c>
      <c r="J20" s="5"/>
      <c r="K20" s="5"/>
      <c r="L20" s="5" t="s">
        <v>43</v>
      </c>
    </row>
    <row r="21" spans="1:12">
      <c r="A21" s="5"/>
      <c r="B21" s="5"/>
      <c r="C21" s="5"/>
      <c r="D21" s="5"/>
      <c r="E21" s="5"/>
      <c r="F21" s="5"/>
      <c r="G21" s="5"/>
      <c r="H21" s="5"/>
      <c r="I21" s="5" t="s">
        <v>105</v>
      </c>
      <c r="J21" s="5"/>
      <c r="K21" s="5"/>
      <c r="L21" s="5" t="s">
        <v>43</v>
      </c>
    </row>
    <row r="22" spans="1:12">
      <c r="A22" s="5"/>
      <c r="B22" s="5"/>
      <c r="C22" s="5"/>
      <c r="D22" s="5"/>
      <c r="E22" s="5"/>
      <c r="F22" s="5"/>
      <c r="G22" s="5"/>
      <c r="H22" s="5"/>
      <c r="I22" s="5" t="s">
        <v>105</v>
      </c>
      <c r="J22" s="5"/>
      <c r="K22" s="5"/>
      <c r="L22" s="5" t="s">
        <v>43</v>
      </c>
    </row>
    <row r="23" spans="1:12">
      <c r="A23" s="5"/>
      <c r="B23" s="5"/>
      <c r="C23" s="5"/>
      <c r="D23" s="5"/>
      <c r="E23" s="5"/>
      <c r="F23" s="5"/>
      <c r="G23" s="5"/>
      <c r="H23" s="5"/>
      <c r="I23" s="5" t="s">
        <v>105</v>
      </c>
      <c r="J23" s="5"/>
      <c r="K23" s="5"/>
      <c r="L23" s="5" t="s">
        <v>43</v>
      </c>
    </row>
    <row r="24" spans="1:12">
      <c r="A24" s="5"/>
      <c r="B24" s="5"/>
      <c r="C24" s="5"/>
      <c r="D24" s="5"/>
      <c r="E24" s="5"/>
      <c r="F24" s="5"/>
      <c r="G24" s="5"/>
      <c r="H24" s="5"/>
      <c r="I24" s="5" t="s">
        <v>105</v>
      </c>
      <c r="J24" s="5"/>
      <c r="K24" s="5"/>
      <c r="L24" s="5" t="s">
        <v>43</v>
      </c>
    </row>
    <row r="25" spans="1:12">
      <c r="A25" s="5"/>
      <c r="B25" s="5"/>
      <c r="C25" s="5"/>
      <c r="D25" s="5"/>
      <c r="E25" s="5"/>
      <c r="F25" s="5"/>
      <c r="G25" s="5"/>
      <c r="H25" s="5"/>
      <c r="I25" s="5" t="s">
        <v>105</v>
      </c>
      <c r="J25" s="5"/>
      <c r="K25" s="5"/>
      <c r="L25" s="5" t="s">
        <v>43</v>
      </c>
    </row>
    <row r="26" spans="1:12">
      <c r="A26" s="5"/>
      <c r="B26" s="5"/>
      <c r="C26" s="5"/>
      <c r="D26" s="5"/>
      <c r="E26" s="5"/>
      <c r="F26" s="5"/>
      <c r="G26" s="5"/>
      <c r="H26" s="5"/>
      <c r="I26" s="5" t="s">
        <v>105</v>
      </c>
      <c r="J26" s="5"/>
      <c r="K26" s="5"/>
      <c r="L26" s="5" t="s">
        <v>43</v>
      </c>
    </row>
    <row r="27" spans="1:12">
      <c r="A27" s="5"/>
      <c r="B27" s="5"/>
      <c r="C27" s="5"/>
      <c r="D27" s="5"/>
      <c r="E27" s="5"/>
      <c r="F27" s="5"/>
      <c r="G27" s="5"/>
      <c r="H27" s="5"/>
      <c r="I27" s="5" t="s">
        <v>105</v>
      </c>
      <c r="J27" s="5"/>
      <c r="K27" s="5"/>
      <c r="L27" s="5" t="s">
        <v>43</v>
      </c>
    </row>
    <row r="28" spans="1:12">
      <c r="A28" s="5"/>
      <c r="B28" s="5"/>
      <c r="C28" s="5"/>
      <c r="D28" s="5"/>
      <c r="E28" s="5"/>
      <c r="F28" s="5"/>
      <c r="G28" s="5"/>
      <c r="H28" s="5"/>
      <c r="I28" s="5" t="s">
        <v>105</v>
      </c>
      <c r="J28" s="5"/>
      <c r="K28" s="5"/>
      <c r="L28" s="5" t="s">
        <v>43</v>
      </c>
    </row>
    <row r="29" spans="1:12">
      <c r="A29" s="5"/>
      <c r="B29" s="5"/>
      <c r="C29" s="5"/>
      <c r="D29" s="5"/>
      <c r="E29" s="5"/>
      <c r="F29" s="5"/>
      <c r="G29" s="5"/>
      <c r="H29" s="5"/>
      <c r="I29" s="5" t="s">
        <v>105</v>
      </c>
      <c r="J29" s="5"/>
      <c r="K29" s="5"/>
      <c r="L29" s="5" t="s">
        <v>43</v>
      </c>
    </row>
    <row r="30" spans="1:12">
      <c r="A30" s="5"/>
      <c r="B30" s="5"/>
      <c r="C30" s="5"/>
      <c r="D30" s="5"/>
      <c r="E30" s="5"/>
      <c r="F30" s="5"/>
      <c r="G30" s="5"/>
      <c r="H30" s="5"/>
      <c r="I30" s="5" t="s">
        <v>105</v>
      </c>
      <c r="J30" s="5"/>
      <c r="K30" s="5"/>
      <c r="L30" s="5" t="s">
        <v>43</v>
      </c>
    </row>
    <row r="31" spans="1:12">
      <c r="A31" s="5"/>
      <c r="B31" s="5"/>
      <c r="C31" s="5"/>
      <c r="D31" s="5"/>
      <c r="E31" s="5"/>
      <c r="F31" s="5"/>
      <c r="G31" s="5"/>
      <c r="H31" s="5"/>
      <c r="I31" s="5" t="s">
        <v>105</v>
      </c>
      <c r="J31" s="5"/>
      <c r="K31" s="5"/>
      <c r="L31" s="5" t="s">
        <v>43</v>
      </c>
    </row>
    <row r="32" spans="1:12">
      <c r="A32" s="5"/>
      <c r="B32" s="5"/>
      <c r="C32" s="5"/>
      <c r="D32" s="5"/>
      <c r="E32" s="5"/>
      <c r="F32" s="5"/>
      <c r="G32" s="5"/>
      <c r="H32" s="5"/>
      <c r="I32" s="5" t="s">
        <v>105</v>
      </c>
      <c r="J32" s="5"/>
      <c r="K32" s="5"/>
      <c r="L32" s="5" t="s">
        <v>43</v>
      </c>
    </row>
    <row r="33" spans="1:12">
      <c r="A33" s="5"/>
      <c r="B33" s="5"/>
      <c r="C33" s="5"/>
      <c r="D33" s="5"/>
      <c r="E33" s="5"/>
      <c r="F33" s="5"/>
      <c r="G33" s="5"/>
      <c r="H33" s="5"/>
      <c r="I33" s="5" t="s">
        <v>105</v>
      </c>
      <c r="J33" s="5"/>
      <c r="K33" s="5"/>
      <c r="L33" s="5" t="s">
        <v>43</v>
      </c>
    </row>
    <row r="34" spans="1:12">
      <c r="A34" s="5"/>
      <c r="B34" s="5"/>
      <c r="C34" s="5"/>
      <c r="D34" s="5"/>
      <c r="E34" s="5"/>
      <c r="F34" s="5"/>
      <c r="G34" s="5"/>
      <c r="H34" s="5"/>
      <c r="I34" s="5" t="s">
        <v>105</v>
      </c>
      <c r="J34" s="5"/>
      <c r="K34" s="5"/>
      <c r="L34" s="5" t="s">
        <v>43</v>
      </c>
    </row>
    <row r="35" spans="1:12">
      <c r="A35" s="5"/>
      <c r="B35" s="5"/>
      <c r="C35" s="5"/>
      <c r="D35" s="5"/>
      <c r="E35" s="5"/>
      <c r="F35" s="5"/>
      <c r="G35" s="5"/>
      <c r="H35" s="5"/>
      <c r="I35" s="5" t="s">
        <v>105</v>
      </c>
      <c r="J35" s="5"/>
      <c r="K35" s="5"/>
      <c r="L35" s="5" t="s">
        <v>43</v>
      </c>
    </row>
    <row r="36" spans="1:12">
      <c r="A36" s="5"/>
      <c r="B36" s="5"/>
      <c r="C36" s="5"/>
      <c r="D36" s="5"/>
      <c r="E36" s="5"/>
      <c r="F36" s="5"/>
      <c r="G36" s="5"/>
      <c r="H36" s="5"/>
      <c r="I36" s="5" t="s">
        <v>105</v>
      </c>
      <c r="J36" s="5"/>
      <c r="K36" s="5"/>
      <c r="L36" s="5" t="s">
        <v>43</v>
      </c>
    </row>
    <row r="37" spans="1:12">
      <c r="A37" s="5"/>
      <c r="B37" s="5"/>
      <c r="C37" s="5"/>
      <c r="D37" s="5"/>
      <c r="E37" s="5"/>
      <c r="F37" s="5"/>
      <c r="G37" s="5"/>
      <c r="H37" s="5"/>
      <c r="I37" s="5" t="s">
        <v>105</v>
      </c>
      <c r="J37" s="5"/>
      <c r="K37" s="5"/>
      <c r="L37" s="5" t="s">
        <v>43</v>
      </c>
    </row>
    <row r="38" spans="1:12">
      <c r="A38" s="5"/>
      <c r="B38" s="5"/>
      <c r="C38" s="5"/>
      <c r="D38" s="5"/>
      <c r="E38" s="5"/>
      <c r="F38" s="5"/>
      <c r="G38" s="5"/>
      <c r="H38" s="5"/>
      <c r="I38" s="5" t="s">
        <v>105</v>
      </c>
      <c r="J38" s="5"/>
      <c r="K38" s="5"/>
      <c r="L38" s="5" t="s">
        <v>43</v>
      </c>
    </row>
    <row r="39" spans="1:12">
      <c r="A39" s="5"/>
      <c r="B39" s="5"/>
      <c r="C39" s="5"/>
      <c r="D39" s="5"/>
      <c r="E39" s="5"/>
      <c r="F39" s="5"/>
      <c r="G39" s="5"/>
      <c r="H39" s="5"/>
      <c r="I39" s="5" t="s">
        <v>105</v>
      </c>
      <c r="J39" s="5"/>
      <c r="K39" s="5"/>
      <c r="L39" s="5" t="s">
        <v>43</v>
      </c>
    </row>
    <row r="40" spans="1:12">
      <c r="A40" s="5"/>
      <c r="B40" s="5"/>
      <c r="C40" s="5"/>
      <c r="D40" s="5"/>
      <c r="E40" s="5"/>
      <c r="F40" s="5"/>
      <c r="G40" s="5"/>
      <c r="H40" s="5"/>
      <c r="I40" s="5" t="s">
        <v>105</v>
      </c>
      <c r="J40" s="5"/>
      <c r="K40" s="5"/>
      <c r="L40" s="5" t="s">
        <v>43</v>
      </c>
    </row>
    <row r="41" spans="1:12">
      <c r="A41" s="5"/>
      <c r="B41" s="5"/>
      <c r="C41" s="5"/>
      <c r="D41" s="5"/>
      <c r="E41" s="5"/>
      <c r="F41" s="5"/>
      <c r="G41" s="5"/>
      <c r="H41" s="5"/>
      <c r="I41" s="5" t="s">
        <v>105</v>
      </c>
      <c r="J41" s="5"/>
      <c r="K41" s="5"/>
      <c r="L41" s="5" t="s">
        <v>43</v>
      </c>
    </row>
    <row r="42" spans="1:12">
      <c r="A42" s="5"/>
      <c r="B42" s="5"/>
      <c r="C42" s="5"/>
      <c r="D42" s="5"/>
      <c r="E42" s="5"/>
      <c r="F42" s="5"/>
      <c r="G42" s="5"/>
      <c r="H42" s="5"/>
      <c r="I42" s="5" t="s">
        <v>105</v>
      </c>
      <c r="J42" s="5"/>
      <c r="K42" s="5"/>
      <c r="L42" s="5" t="s">
        <v>43</v>
      </c>
    </row>
    <row r="43" spans="1:12">
      <c r="A43" s="5"/>
      <c r="B43" s="5"/>
      <c r="C43" s="5"/>
      <c r="D43" s="5"/>
      <c r="E43" s="5"/>
      <c r="F43" s="5"/>
      <c r="G43" s="5"/>
      <c r="H43" s="5"/>
      <c r="I43" s="5" t="s">
        <v>105</v>
      </c>
      <c r="J43" s="5"/>
      <c r="K43" s="5"/>
      <c r="L43" s="5" t="s">
        <v>43</v>
      </c>
    </row>
  </sheetData>
  <mergeCells count="1">
    <mergeCell ref="A1:L1"/>
  </mergeCells>
  <conditionalFormatting sqref="L4:L43">
    <cfRule type="expression" dxfId="2" priority="1">
      <formula>L4="Completed"</formula>
    </cfRule>
  </conditionalFormatting>
  <dataValidations count="2">
    <dataValidation type="list" sqref="I4:I43" xr:uid="{00000000-0002-0000-0300-000000000000}">
      <formula1>"Yes,No"</formula1>
    </dataValidation>
    <dataValidation type="list" sqref="L4:L43" xr:uid="{00000000-0002-0000-0300-000001000000}">
      <formula1>"Not Started,In Progress,Completed,Blocked"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tabSelected="1" topLeftCell="B1" zoomScale="101" workbookViewId="0">
      <selection activeCell="C4" sqref="C4"/>
    </sheetView>
  </sheetViews>
  <sheetFormatPr defaultRowHeight="13.8"/>
  <cols>
    <col min="1" max="1" width="28" customWidth="1"/>
    <col min="2" max="2" width="20" customWidth="1"/>
    <col min="3" max="3" width="44" customWidth="1"/>
    <col min="4" max="4" width="20" customWidth="1"/>
    <col min="5" max="5" width="15" customWidth="1"/>
    <col min="6" max="6" width="46.59765625" bestFit="1" customWidth="1"/>
    <col min="7" max="7" width="16" customWidth="1"/>
    <col min="8" max="8" width="34" customWidth="1"/>
  </cols>
  <sheetData>
    <row r="1" spans="1:8" ht="27.15" customHeight="1">
      <c r="A1" s="10" t="s">
        <v>106</v>
      </c>
      <c r="B1" s="10"/>
      <c r="C1" s="10"/>
      <c r="D1" s="10"/>
      <c r="E1" s="10"/>
      <c r="F1" s="10"/>
      <c r="G1" s="10"/>
      <c r="H1" s="10"/>
    </row>
    <row r="3" spans="1:8" ht="24" customHeight="1">
      <c r="A3" s="1" t="s">
        <v>107</v>
      </c>
      <c r="B3" s="1" t="s">
        <v>108</v>
      </c>
      <c r="C3" s="1" t="s">
        <v>109</v>
      </c>
      <c r="D3" s="1" t="s">
        <v>110</v>
      </c>
      <c r="E3" s="1" t="s">
        <v>111</v>
      </c>
      <c r="F3" s="1" t="s">
        <v>112</v>
      </c>
      <c r="G3" s="1" t="s">
        <v>113</v>
      </c>
      <c r="H3" s="1" t="s">
        <v>114</v>
      </c>
    </row>
    <row r="4" spans="1:8">
      <c r="A4" t="s">
        <v>58</v>
      </c>
      <c r="B4" s="5" t="s">
        <v>205</v>
      </c>
      <c r="C4" s="19" t="s">
        <v>58</v>
      </c>
      <c r="D4" s="5" t="s">
        <v>172</v>
      </c>
      <c r="E4" s="5" t="s">
        <v>173</v>
      </c>
      <c r="F4" s="5" t="s">
        <v>168</v>
      </c>
      <c r="G4" s="5" t="s">
        <v>172</v>
      </c>
      <c r="H4" s="5"/>
    </row>
    <row r="5" spans="1:8">
      <c r="A5" t="s">
        <v>61</v>
      </c>
      <c r="B5" s="5" t="s">
        <v>206</v>
      </c>
      <c r="C5" s="19" t="s">
        <v>61</v>
      </c>
      <c r="D5" s="5" t="s">
        <v>172</v>
      </c>
      <c r="E5" s="5" t="s">
        <v>173</v>
      </c>
      <c r="F5" s="5" t="s">
        <v>159</v>
      </c>
      <c r="G5" s="5" t="s">
        <v>172</v>
      </c>
      <c r="H5" s="5"/>
    </row>
    <row r="6" spans="1:8">
      <c r="A6" t="s">
        <v>64</v>
      </c>
      <c r="B6" s="5" t="s">
        <v>207</v>
      </c>
      <c r="C6" s="19" t="s">
        <v>64</v>
      </c>
      <c r="D6" s="5" t="s">
        <v>172</v>
      </c>
      <c r="E6" s="5" t="s">
        <v>173</v>
      </c>
      <c r="F6" s="5" t="s">
        <v>160</v>
      </c>
      <c r="G6" s="5" t="s">
        <v>172</v>
      </c>
      <c r="H6" s="5"/>
    </row>
    <row r="7" spans="1:8">
      <c r="A7" t="s">
        <v>67</v>
      </c>
      <c r="B7" s="5" t="s">
        <v>207</v>
      </c>
      <c r="C7" s="19" t="s">
        <v>67</v>
      </c>
      <c r="D7" s="5" t="s">
        <v>172</v>
      </c>
      <c r="E7" s="5" t="s">
        <v>173</v>
      </c>
      <c r="F7" s="5" t="s">
        <v>160</v>
      </c>
      <c r="G7" s="5" t="s">
        <v>172</v>
      </c>
      <c r="H7" s="5"/>
    </row>
    <row r="8" spans="1:8">
      <c r="A8" t="s">
        <v>70</v>
      </c>
      <c r="B8" s="5" t="s">
        <v>205</v>
      </c>
      <c r="C8" s="19" t="s">
        <v>230</v>
      </c>
      <c r="D8" s="5" t="s">
        <v>172</v>
      </c>
      <c r="E8" s="5" t="s">
        <v>173</v>
      </c>
      <c r="F8" s="5" t="s">
        <v>161</v>
      </c>
      <c r="G8" s="5" t="s">
        <v>172</v>
      </c>
      <c r="H8" s="5"/>
    </row>
    <row r="9" spans="1:8">
      <c r="A9" t="s">
        <v>73</v>
      </c>
      <c r="B9" s="5" t="s">
        <v>207</v>
      </c>
      <c r="C9" s="19" t="s">
        <v>231</v>
      </c>
      <c r="D9" s="5" t="s">
        <v>172</v>
      </c>
      <c r="E9" s="5" t="s">
        <v>173</v>
      </c>
      <c r="F9" s="5" t="s">
        <v>208</v>
      </c>
      <c r="G9" s="5" t="s">
        <v>172</v>
      </c>
      <c r="H9" s="5"/>
    </row>
    <row r="10" spans="1:8">
      <c r="A10" t="s">
        <v>76</v>
      </c>
      <c r="B10" s="5" t="s">
        <v>207</v>
      </c>
      <c r="C10" s="19" t="s">
        <v>232</v>
      </c>
      <c r="D10" s="5" t="s">
        <v>172</v>
      </c>
      <c r="E10" s="5" t="s">
        <v>173</v>
      </c>
      <c r="F10" s="5" t="s">
        <v>208</v>
      </c>
      <c r="G10" s="5" t="s">
        <v>172</v>
      </c>
      <c r="H10" s="5"/>
    </row>
    <row r="11" spans="1:8">
      <c r="A11" t="s">
        <v>115</v>
      </c>
      <c r="B11" s="5" t="s">
        <v>207</v>
      </c>
      <c r="C11" s="19" t="s">
        <v>115</v>
      </c>
      <c r="D11" s="5" t="s">
        <v>172</v>
      </c>
      <c r="E11" s="5" t="s">
        <v>173</v>
      </c>
      <c r="F11" s="5" t="s">
        <v>208</v>
      </c>
      <c r="G11" s="5" t="s">
        <v>172</v>
      </c>
      <c r="H11" s="5"/>
    </row>
  </sheetData>
  <mergeCells count="1">
    <mergeCell ref="A1:H1"/>
  </mergeCells>
  <dataValidations count="1">
    <dataValidation type="list" sqref="D4:D11 G4:G11" xr:uid="{00000000-0002-0000-0400-000000000000}">
      <formula1>"Yes,No"</formula1>
    </dataValidation>
  </dataValidations>
  <hyperlinks>
    <hyperlink ref="C8" r:id="rId1" xr:uid="{744A619C-0014-435D-8F6A-273944BD5797}"/>
    <hyperlink ref="C9" r:id="rId2" xr:uid="{50BF9977-15C6-4956-A298-7DB52D79CFA3}"/>
    <hyperlink ref="C10" r:id="rId3" xr:uid="{F4B66896-0D3C-4D64-BD76-5D2BDE80E02F}"/>
    <hyperlink ref="C11" r:id="rId4" xr:uid="{D945491F-C2F6-4792-82FA-EEE02BFA69B9}"/>
    <hyperlink ref="C6" r:id="rId5" xr:uid="{B95EA978-A980-44AE-AF74-B634E9589279}"/>
    <hyperlink ref="C7" r:id="rId6" xr:uid="{DFC6DBA5-FB69-47D1-BD09-89A3C6083E6A}"/>
    <hyperlink ref="C5" r:id="rId7" xr:uid="{EA6A9FF2-4A10-400C-9859-CA4D68C2BC92}"/>
    <hyperlink ref="C4" r:id="rId8" xr:uid="{0905F592-BAE1-4434-806F-A4A3EC63000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5"/>
  <sheetViews>
    <sheetView topLeftCell="A3" zoomScale="92" workbookViewId="0">
      <selection activeCell="D5" sqref="D5"/>
    </sheetView>
  </sheetViews>
  <sheetFormatPr defaultRowHeight="13.8"/>
  <cols>
    <col min="1" max="1" width="15" style="28" customWidth="1"/>
    <col min="2" max="2" width="32" customWidth="1"/>
    <col min="3" max="3" width="34" customWidth="1"/>
    <col min="4" max="4" width="38" customWidth="1"/>
    <col min="5" max="5" width="24" customWidth="1"/>
    <col min="6" max="8" width="15" customWidth="1"/>
    <col min="9" max="9" width="32" customWidth="1"/>
  </cols>
  <sheetData>
    <row r="1" spans="1:9" ht="27.15" customHeight="1">
      <c r="A1" s="10" t="s">
        <v>116</v>
      </c>
      <c r="B1" s="10"/>
      <c r="C1" s="10"/>
      <c r="D1" s="10"/>
      <c r="E1" s="10"/>
      <c r="F1" s="10"/>
      <c r="G1" s="10"/>
      <c r="H1" s="10"/>
      <c r="I1" s="10"/>
    </row>
    <row r="3" spans="1:9" ht="24" customHeight="1">
      <c r="A3" s="26" t="s">
        <v>117</v>
      </c>
      <c r="B3" s="1" t="s">
        <v>118</v>
      </c>
      <c r="C3" s="1" t="s">
        <v>119</v>
      </c>
      <c r="D3" s="1" t="s">
        <v>120</v>
      </c>
      <c r="E3" s="1" t="s">
        <v>112</v>
      </c>
      <c r="F3" s="1" t="s">
        <v>121</v>
      </c>
      <c r="G3" s="1" t="s">
        <v>53</v>
      </c>
      <c r="H3" s="1" t="s">
        <v>122</v>
      </c>
      <c r="I3" s="1" t="s">
        <v>114</v>
      </c>
    </row>
    <row r="4" spans="1:9" ht="94.2" customHeight="1">
      <c r="A4" s="27" t="s">
        <v>253</v>
      </c>
      <c r="B4" s="5" t="s">
        <v>273</v>
      </c>
      <c r="C4" s="5" t="s">
        <v>260</v>
      </c>
      <c r="D4" s="5" t="s">
        <v>261</v>
      </c>
      <c r="E4" s="5" t="s">
        <v>159</v>
      </c>
      <c r="F4" s="5" t="s">
        <v>257</v>
      </c>
      <c r="G4" s="5" t="s">
        <v>34</v>
      </c>
      <c r="H4" s="5" t="s">
        <v>253</v>
      </c>
      <c r="I4" s="5"/>
    </row>
    <row r="5" spans="1:9" ht="69">
      <c r="A5" s="27" t="s">
        <v>253</v>
      </c>
      <c r="B5" s="5" t="s">
        <v>252</v>
      </c>
      <c r="C5" s="5" t="s">
        <v>262</v>
      </c>
      <c r="D5" s="5" t="s">
        <v>263</v>
      </c>
      <c r="E5" s="5" t="s">
        <v>159</v>
      </c>
      <c r="F5" s="5" t="s">
        <v>257</v>
      </c>
      <c r="G5" s="5" t="s">
        <v>34</v>
      </c>
      <c r="H5" s="5" t="s">
        <v>179</v>
      </c>
      <c r="I5" s="5"/>
    </row>
    <row r="6" spans="1:9" ht="73.8" customHeight="1">
      <c r="A6" s="27" t="s">
        <v>253</v>
      </c>
      <c r="B6" s="5" t="s">
        <v>251</v>
      </c>
      <c r="C6" s="5" t="s">
        <v>264</v>
      </c>
      <c r="D6" s="5" t="s">
        <v>265</v>
      </c>
      <c r="E6" s="5" t="s">
        <v>159</v>
      </c>
      <c r="F6" s="5" t="s">
        <v>257</v>
      </c>
      <c r="G6" s="5" t="s">
        <v>34</v>
      </c>
      <c r="H6" s="5" t="s">
        <v>254</v>
      </c>
      <c r="I6" s="5"/>
    </row>
    <row r="7" spans="1:9" ht="73.8" customHeight="1">
      <c r="A7" s="29" t="s">
        <v>255</v>
      </c>
      <c r="B7" s="6" t="s">
        <v>256</v>
      </c>
      <c r="C7" s="6" t="s">
        <v>266</v>
      </c>
      <c r="D7" s="6" t="s">
        <v>267</v>
      </c>
      <c r="E7" s="6" t="s">
        <v>160</v>
      </c>
      <c r="F7" s="6" t="s">
        <v>257</v>
      </c>
      <c r="G7" s="6" t="s">
        <v>34</v>
      </c>
      <c r="H7" s="6" t="s">
        <v>255</v>
      </c>
      <c r="I7" s="6"/>
    </row>
    <row r="8" spans="1:9" ht="73.8" customHeight="1">
      <c r="A8" s="29" t="s">
        <v>175</v>
      </c>
      <c r="B8" s="6" t="s">
        <v>258</v>
      </c>
      <c r="C8" s="6" t="s">
        <v>268</v>
      </c>
      <c r="D8" s="6" t="s">
        <v>269</v>
      </c>
      <c r="E8" s="6" t="s">
        <v>169</v>
      </c>
      <c r="F8" s="6" t="s">
        <v>257</v>
      </c>
      <c r="G8" s="6" t="s">
        <v>34</v>
      </c>
      <c r="H8" s="6" t="s">
        <v>259</v>
      </c>
      <c r="I8" s="6"/>
    </row>
    <row r="9" spans="1:9" ht="41.4">
      <c r="A9" s="27" t="s">
        <v>173</v>
      </c>
      <c r="B9" s="5" t="s">
        <v>270</v>
      </c>
      <c r="C9" s="5" t="s">
        <v>271</v>
      </c>
      <c r="D9" s="5" t="s">
        <v>272</v>
      </c>
      <c r="E9" s="5" t="s">
        <v>152</v>
      </c>
      <c r="F9" s="5" t="s">
        <v>257</v>
      </c>
      <c r="G9" s="5" t="s">
        <v>34</v>
      </c>
      <c r="H9" s="5" t="s">
        <v>178</v>
      </c>
      <c r="I9" s="5"/>
    </row>
    <row r="10" spans="1:9">
      <c r="A10" s="27"/>
      <c r="B10" s="5"/>
      <c r="C10" s="5"/>
      <c r="D10" s="5"/>
      <c r="E10" s="5"/>
      <c r="F10" s="5"/>
      <c r="G10" s="5" t="s">
        <v>43</v>
      </c>
      <c r="H10" s="5"/>
      <c r="I10" s="5"/>
    </row>
    <row r="11" spans="1:9">
      <c r="A11" s="27"/>
      <c r="B11" s="5"/>
      <c r="C11" s="5"/>
      <c r="D11" s="5"/>
      <c r="E11" s="5"/>
      <c r="F11" s="5"/>
      <c r="G11" s="5" t="s">
        <v>43</v>
      </c>
      <c r="H11" s="5"/>
      <c r="I11" s="5"/>
    </row>
    <row r="12" spans="1:9">
      <c r="A12" s="27"/>
      <c r="B12" s="5"/>
      <c r="C12" s="5"/>
      <c r="D12" s="5"/>
      <c r="E12" s="5"/>
      <c r="F12" s="5"/>
      <c r="G12" s="5" t="s">
        <v>43</v>
      </c>
      <c r="H12" s="5"/>
      <c r="I12" s="5"/>
    </row>
    <row r="13" spans="1:9">
      <c r="A13" s="27"/>
      <c r="B13" s="5"/>
      <c r="C13" s="5"/>
      <c r="D13" s="5"/>
      <c r="E13" s="5"/>
      <c r="F13" s="5"/>
      <c r="G13" s="5" t="s">
        <v>43</v>
      </c>
      <c r="H13" s="5"/>
      <c r="I13" s="5"/>
    </row>
    <row r="14" spans="1:9">
      <c r="A14" s="27"/>
      <c r="B14" s="5"/>
      <c r="C14" s="5"/>
      <c r="D14" s="5"/>
      <c r="E14" s="5"/>
      <c r="F14" s="5"/>
      <c r="G14" s="5" t="s">
        <v>43</v>
      </c>
      <c r="H14" s="5"/>
      <c r="I14" s="5"/>
    </row>
    <row r="15" spans="1:9">
      <c r="A15" s="27"/>
      <c r="B15" s="5"/>
      <c r="C15" s="5"/>
      <c r="D15" s="5"/>
      <c r="E15" s="5"/>
      <c r="F15" s="5"/>
      <c r="G15" s="5" t="s">
        <v>43</v>
      </c>
      <c r="H15" s="5"/>
      <c r="I15" s="5"/>
    </row>
    <row r="16" spans="1:9">
      <c r="A16" s="27"/>
      <c r="B16" s="5"/>
      <c r="C16" s="5"/>
      <c r="D16" s="5"/>
      <c r="E16" s="5"/>
      <c r="F16" s="5"/>
      <c r="G16" s="5" t="s">
        <v>43</v>
      </c>
      <c r="H16" s="5"/>
      <c r="I16" s="5"/>
    </row>
    <row r="17" spans="1:9">
      <c r="A17" s="27"/>
      <c r="B17" s="5"/>
      <c r="C17" s="5"/>
      <c r="D17" s="5"/>
      <c r="E17" s="5"/>
      <c r="F17" s="5"/>
      <c r="G17" s="5" t="s">
        <v>43</v>
      </c>
      <c r="H17" s="5"/>
      <c r="I17" s="5"/>
    </row>
    <row r="18" spans="1:9">
      <c r="A18" s="27"/>
      <c r="B18" s="5"/>
      <c r="C18" s="5"/>
      <c r="D18" s="5"/>
      <c r="E18" s="5"/>
      <c r="F18" s="5"/>
      <c r="G18" s="5" t="s">
        <v>43</v>
      </c>
      <c r="H18" s="5"/>
      <c r="I18" s="5"/>
    </row>
    <row r="19" spans="1:9">
      <c r="A19" s="27"/>
      <c r="B19" s="5"/>
      <c r="C19" s="5"/>
      <c r="D19" s="5"/>
      <c r="E19" s="5"/>
      <c r="F19" s="5"/>
      <c r="G19" s="5" t="s">
        <v>43</v>
      </c>
      <c r="H19" s="5"/>
      <c r="I19" s="5"/>
    </row>
    <row r="20" spans="1:9">
      <c r="A20" s="27"/>
      <c r="B20" s="5"/>
      <c r="C20" s="5"/>
      <c r="D20" s="5"/>
      <c r="E20" s="5"/>
      <c r="F20" s="5"/>
      <c r="G20" s="5" t="s">
        <v>43</v>
      </c>
      <c r="H20" s="5"/>
      <c r="I20" s="5"/>
    </row>
    <row r="21" spans="1:9">
      <c r="A21" s="27"/>
      <c r="B21" s="5"/>
      <c r="C21" s="5"/>
      <c r="D21" s="5"/>
      <c r="E21" s="5"/>
      <c r="F21" s="5"/>
      <c r="G21" s="5" t="s">
        <v>43</v>
      </c>
      <c r="H21" s="5"/>
      <c r="I21" s="5"/>
    </row>
    <row r="22" spans="1:9">
      <c r="A22" s="27"/>
      <c r="B22" s="5"/>
      <c r="C22" s="5"/>
      <c r="D22" s="5"/>
      <c r="E22" s="5"/>
      <c r="F22" s="5"/>
      <c r="G22" s="5" t="s">
        <v>43</v>
      </c>
      <c r="H22" s="5"/>
      <c r="I22" s="5"/>
    </row>
    <row r="23" spans="1:9">
      <c r="A23" s="27"/>
      <c r="B23" s="5"/>
      <c r="C23" s="5"/>
      <c r="D23" s="5"/>
      <c r="E23" s="5"/>
      <c r="F23" s="5"/>
      <c r="G23" s="5" t="s">
        <v>43</v>
      </c>
      <c r="H23" s="5"/>
      <c r="I23" s="5"/>
    </row>
    <row r="24" spans="1:9">
      <c r="A24" s="27"/>
      <c r="B24" s="5"/>
      <c r="C24" s="5"/>
      <c r="D24" s="5"/>
      <c r="E24" s="5"/>
      <c r="F24" s="5"/>
      <c r="G24" s="5" t="s">
        <v>43</v>
      </c>
      <c r="H24" s="5"/>
      <c r="I24" s="5"/>
    </row>
    <row r="25" spans="1:9">
      <c r="A25" s="27"/>
      <c r="B25" s="5"/>
      <c r="C25" s="5"/>
      <c r="D25" s="5"/>
      <c r="E25" s="5"/>
      <c r="F25" s="5"/>
      <c r="G25" s="5" t="s">
        <v>43</v>
      </c>
      <c r="H25" s="5"/>
      <c r="I25" s="5"/>
    </row>
    <row r="26" spans="1:9">
      <c r="A26" s="27"/>
      <c r="B26" s="5"/>
      <c r="C26" s="5"/>
      <c r="D26" s="5"/>
      <c r="E26" s="5"/>
      <c r="F26" s="5"/>
      <c r="G26" s="5" t="s">
        <v>43</v>
      </c>
      <c r="H26" s="5"/>
      <c r="I26" s="5"/>
    </row>
    <row r="27" spans="1:9">
      <c r="A27" s="27"/>
      <c r="B27" s="5"/>
      <c r="C27" s="5"/>
      <c r="D27" s="5"/>
      <c r="E27" s="5"/>
      <c r="F27" s="5"/>
      <c r="G27" s="5" t="s">
        <v>43</v>
      </c>
      <c r="H27" s="5"/>
      <c r="I27" s="5"/>
    </row>
    <row r="28" spans="1:9">
      <c r="A28" s="27"/>
      <c r="B28" s="5"/>
      <c r="C28" s="5"/>
      <c r="D28" s="5"/>
      <c r="E28" s="5"/>
      <c r="F28" s="5"/>
      <c r="G28" s="5" t="s">
        <v>43</v>
      </c>
      <c r="H28" s="5"/>
      <c r="I28" s="5"/>
    </row>
    <row r="29" spans="1:9">
      <c r="A29" s="27"/>
      <c r="B29" s="5"/>
      <c r="C29" s="5"/>
      <c r="D29" s="5"/>
      <c r="E29" s="5"/>
      <c r="F29" s="5"/>
      <c r="G29" s="5" t="s">
        <v>43</v>
      </c>
      <c r="H29" s="5"/>
      <c r="I29" s="5"/>
    </row>
    <row r="30" spans="1:9">
      <c r="A30" s="27"/>
      <c r="B30" s="5"/>
      <c r="C30" s="5"/>
      <c r="D30" s="5"/>
      <c r="E30" s="5"/>
      <c r="F30" s="5"/>
      <c r="G30" s="5" t="s">
        <v>43</v>
      </c>
      <c r="H30" s="5"/>
      <c r="I30" s="5"/>
    </row>
    <row r="31" spans="1:9">
      <c r="A31" s="27"/>
      <c r="B31" s="5"/>
      <c r="C31" s="5"/>
      <c r="D31" s="5"/>
      <c r="E31" s="5"/>
      <c r="F31" s="5"/>
      <c r="G31" s="5" t="s">
        <v>43</v>
      </c>
      <c r="H31" s="5"/>
      <c r="I31" s="5"/>
    </row>
    <row r="32" spans="1:9">
      <c r="A32" s="27"/>
      <c r="B32" s="5"/>
      <c r="C32" s="5"/>
      <c r="D32" s="5"/>
      <c r="E32" s="5"/>
      <c r="F32" s="5"/>
      <c r="G32" s="5" t="s">
        <v>43</v>
      </c>
      <c r="H32" s="5"/>
      <c r="I32" s="5"/>
    </row>
    <row r="33" spans="1:9">
      <c r="A33" s="27"/>
      <c r="B33" s="5"/>
      <c r="C33" s="5"/>
      <c r="D33" s="5"/>
      <c r="E33" s="5"/>
      <c r="F33" s="5"/>
      <c r="G33" s="5" t="s">
        <v>43</v>
      </c>
      <c r="H33" s="5"/>
      <c r="I33" s="5"/>
    </row>
    <row r="34" spans="1:9">
      <c r="A34" s="27"/>
      <c r="B34" s="5"/>
      <c r="C34" s="5"/>
      <c r="D34" s="5"/>
      <c r="E34" s="5"/>
      <c r="F34" s="5"/>
      <c r="G34" s="5" t="s">
        <v>43</v>
      </c>
      <c r="H34" s="5"/>
      <c r="I34" s="5"/>
    </row>
    <row r="35" spans="1:9">
      <c r="A35" s="27"/>
      <c r="B35" s="5"/>
      <c r="C35" s="5"/>
      <c r="D35" s="5"/>
      <c r="E35" s="5"/>
      <c r="F35" s="5"/>
      <c r="G35" s="5" t="s">
        <v>43</v>
      </c>
      <c r="H35" s="5"/>
      <c r="I35" s="5"/>
    </row>
  </sheetData>
  <mergeCells count="1">
    <mergeCell ref="A1:I1"/>
  </mergeCells>
  <conditionalFormatting sqref="G4:G35">
    <cfRule type="expression" dxfId="1" priority="1">
      <formula>G4="Completed"</formula>
    </cfRule>
    <cfRule type="expression" dxfId="0" priority="2">
      <formula>G4="Blocked"</formula>
    </cfRule>
  </conditionalFormatting>
  <dataValidations count="1">
    <dataValidation type="list" sqref="G4:G35" xr:uid="{00000000-0002-0000-0500-000000000000}">
      <formula1>"Not Started,In Progress,Completed,Blocked"</formula1>
    </dataValidation>
  </dataValidations>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zoomScale="59" zoomScaleNormal="100" workbookViewId="0">
      <selection activeCell="D17" sqref="D17"/>
    </sheetView>
  </sheetViews>
  <sheetFormatPr defaultRowHeight="13.8"/>
  <cols>
    <col min="1" max="1" width="38" customWidth="1"/>
    <col min="2" max="3" width="34" customWidth="1"/>
    <col min="4" max="4" width="4" customWidth="1"/>
    <col min="5" max="5" width="38" customWidth="1"/>
    <col min="6" max="6" width="14" customWidth="1"/>
  </cols>
  <sheetData>
    <row r="1" spans="1:6" ht="27.15" customHeight="1">
      <c r="A1" s="10" t="s">
        <v>30</v>
      </c>
      <c r="B1" s="10"/>
      <c r="C1" s="10"/>
      <c r="D1" s="10"/>
      <c r="E1" s="10"/>
      <c r="F1" s="10"/>
    </row>
    <row r="3" spans="1:6" ht="24" customHeight="1">
      <c r="A3" s="4" t="s">
        <v>41</v>
      </c>
      <c r="B3" s="15" t="s">
        <v>156</v>
      </c>
      <c r="C3" s="15"/>
      <c r="E3" s="1" t="s">
        <v>123</v>
      </c>
      <c r="F3" s="1" t="s">
        <v>124</v>
      </c>
    </row>
    <row r="4" spans="1:6">
      <c r="A4" s="4" t="s">
        <v>42</v>
      </c>
      <c r="B4" s="15" t="s">
        <v>34</v>
      </c>
      <c r="C4" s="15"/>
      <c r="E4" t="s">
        <v>125</v>
      </c>
      <c r="F4" s="5" t="s">
        <v>172</v>
      </c>
    </row>
    <row r="5" spans="1:6" ht="88.8" customHeight="1">
      <c r="A5" s="4" t="s">
        <v>126</v>
      </c>
      <c r="B5" s="15" t="s">
        <v>209</v>
      </c>
      <c r="C5" s="15"/>
      <c r="E5" t="s">
        <v>127</v>
      </c>
      <c r="F5" s="5" t="s">
        <v>172</v>
      </c>
    </row>
    <row r="6" spans="1:6" ht="13.8" customHeight="1">
      <c r="A6" s="4" t="s">
        <v>128</v>
      </c>
      <c r="B6" s="15" t="s">
        <v>210</v>
      </c>
      <c r="C6" s="15"/>
      <c r="E6" t="s">
        <v>129</v>
      </c>
      <c r="F6" s="5" t="s">
        <v>172</v>
      </c>
    </row>
    <row r="7" spans="1:6" ht="13.8" customHeight="1">
      <c r="A7" s="4" t="s">
        <v>130</v>
      </c>
      <c r="B7" s="15" t="s">
        <v>213</v>
      </c>
      <c r="C7" s="15"/>
      <c r="E7" t="s">
        <v>131</v>
      </c>
      <c r="F7" s="5" t="s">
        <v>172</v>
      </c>
    </row>
    <row r="8" spans="1:6" ht="40.799999999999997" customHeight="1">
      <c r="A8" s="4" t="s">
        <v>132</v>
      </c>
      <c r="B8" s="15" t="s">
        <v>211</v>
      </c>
      <c r="C8" s="15"/>
      <c r="E8" t="s">
        <v>133</v>
      </c>
      <c r="F8" s="5" t="s">
        <v>172</v>
      </c>
    </row>
    <row r="9" spans="1:6" ht="87" customHeight="1">
      <c r="A9" s="4" t="s">
        <v>134</v>
      </c>
      <c r="B9" s="15" t="s">
        <v>212</v>
      </c>
      <c r="C9" s="15"/>
      <c r="E9" t="s">
        <v>135</v>
      </c>
      <c r="F9" s="5" t="s">
        <v>172</v>
      </c>
    </row>
    <row r="10" spans="1:6" ht="51.6" customHeight="1">
      <c r="A10" s="4" t="s">
        <v>136</v>
      </c>
      <c r="B10" s="15" t="s">
        <v>214</v>
      </c>
      <c r="C10" s="15"/>
      <c r="E10" t="s">
        <v>137</v>
      </c>
      <c r="F10" s="5" t="s">
        <v>172</v>
      </c>
    </row>
    <row r="11" spans="1:6" ht="72" customHeight="1">
      <c r="A11" s="4" t="s">
        <v>138</v>
      </c>
      <c r="B11" s="15" t="s">
        <v>215</v>
      </c>
      <c r="C11" s="15"/>
      <c r="E11" t="s">
        <v>139</v>
      </c>
      <c r="F11" s="5" t="s">
        <v>172</v>
      </c>
    </row>
    <row r="12" spans="1:6">
      <c r="E12" t="s">
        <v>140</v>
      </c>
      <c r="F12" s="5" t="s">
        <v>172</v>
      </c>
    </row>
    <row r="13" spans="1:6">
      <c r="E13" t="s">
        <v>141</v>
      </c>
      <c r="F13" s="5" t="s">
        <v>172</v>
      </c>
    </row>
    <row r="14" spans="1:6">
      <c r="E14" t="s">
        <v>142</v>
      </c>
      <c r="F14" s="5" t="s">
        <v>172</v>
      </c>
    </row>
    <row r="15" spans="1:6">
      <c r="E15" t="s">
        <v>143</v>
      </c>
      <c r="F15" s="5" t="s">
        <v>172</v>
      </c>
    </row>
    <row r="16" spans="1:6">
      <c r="E16" t="s">
        <v>144</v>
      </c>
      <c r="F16" s="5" t="s">
        <v>172</v>
      </c>
    </row>
  </sheetData>
  <mergeCells count="10">
    <mergeCell ref="B7:C7"/>
    <mergeCell ref="B8:C8"/>
    <mergeCell ref="B9:C9"/>
    <mergeCell ref="B10:C10"/>
    <mergeCell ref="B11:C11"/>
    <mergeCell ref="A1:F1"/>
    <mergeCell ref="B3:C3"/>
    <mergeCell ref="B4:C4"/>
    <mergeCell ref="B5:C5"/>
    <mergeCell ref="B6:C6"/>
  </mergeCells>
  <dataValidations count="2">
    <dataValidation type="list" sqref="B4" xr:uid="{00000000-0002-0000-0600-000000000000}">
      <formula1>"Not Started,In Progress,Completed,Blocked"</formula1>
    </dataValidation>
    <dataValidation type="list" sqref="F4:F16" xr:uid="{00000000-0002-0000-0600-000001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5"/>
  <sheetViews>
    <sheetView topLeftCell="A14" zoomScale="88" workbookViewId="0">
      <selection activeCell="A24" sqref="A24:F25"/>
    </sheetView>
  </sheetViews>
  <sheetFormatPr defaultRowHeight="13.8"/>
  <cols>
    <col min="1" max="6" width="24" customWidth="1"/>
  </cols>
  <sheetData>
    <row r="1" spans="1:6" ht="27.15" customHeight="1">
      <c r="A1" s="10" t="s">
        <v>145</v>
      </c>
      <c r="B1" s="10"/>
      <c r="C1" s="10"/>
      <c r="D1" s="10"/>
      <c r="E1" s="10"/>
      <c r="F1" s="10"/>
    </row>
    <row r="3" spans="1:6" ht="22.35" customHeight="1">
      <c r="A3" s="16" t="s">
        <v>146</v>
      </c>
      <c r="B3" s="16"/>
      <c r="C3" s="16"/>
      <c r="D3" s="16"/>
      <c r="E3" s="16"/>
      <c r="F3" s="16"/>
    </row>
    <row r="4" spans="1:6" ht="30.45" customHeight="1">
      <c r="A4" s="15" t="s">
        <v>216</v>
      </c>
      <c r="B4" s="17"/>
      <c r="C4" s="17"/>
      <c r="D4" s="17"/>
      <c r="E4" s="17"/>
      <c r="F4" s="17"/>
    </row>
    <row r="5" spans="1:6" ht="30.45" customHeight="1">
      <c r="A5" s="17"/>
      <c r="B5" s="17"/>
      <c r="C5" s="17"/>
      <c r="D5" s="17"/>
      <c r="E5" s="17"/>
      <c r="F5" s="17"/>
    </row>
    <row r="6" spans="1:6" ht="24" customHeight="1">
      <c r="A6" s="9"/>
      <c r="B6" s="9"/>
      <c r="C6" s="9"/>
      <c r="D6" s="9"/>
      <c r="E6" s="9"/>
      <c r="F6" s="9"/>
    </row>
    <row r="7" spans="1:6" ht="22.35" customHeight="1">
      <c r="A7" s="18" t="s">
        <v>147</v>
      </c>
      <c r="B7" s="18"/>
      <c r="C7" s="18"/>
      <c r="D7" s="18"/>
      <c r="E7" s="18"/>
      <c r="F7" s="18"/>
    </row>
    <row r="8" spans="1:6" ht="30.45" customHeight="1">
      <c r="A8" s="15" t="s">
        <v>217</v>
      </c>
      <c r="B8" s="17"/>
      <c r="C8" s="17"/>
      <c r="D8" s="17"/>
      <c r="E8" s="17"/>
      <c r="F8" s="17"/>
    </row>
    <row r="9" spans="1:6" ht="30.45" customHeight="1">
      <c r="A9" s="15"/>
      <c r="B9" s="15"/>
      <c r="C9" s="15"/>
      <c r="D9" s="15"/>
      <c r="E9" s="15"/>
      <c r="F9" s="15"/>
    </row>
    <row r="10" spans="1:6" ht="33.6" customHeight="1">
      <c r="A10" s="5"/>
      <c r="B10" s="5"/>
      <c r="C10" s="5"/>
      <c r="D10" s="5"/>
      <c r="E10" s="5"/>
      <c r="F10" s="5"/>
    </row>
    <row r="11" spans="1:6" ht="22.35" customHeight="1">
      <c r="A11" s="16" t="s">
        <v>148</v>
      </c>
      <c r="B11" s="16"/>
      <c r="C11" s="16"/>
      <c r="D11" s="16"/>
      <c r="E11" s="16"/>
      <c r="F11" s="16"/>
    </row>
    <row r="12" spans="1:6" ht="30.45" customHeight="1">
      <c r="A12" s="15" t="s">
        <v>218</v>
      </c>
      <c r="B12" s="15"/>
      <c r="C12" s="15"/>
      <c r="D12" s="15"/>
      <c r="E12" s="15"/>
      <c r="F12" s="15"/>
    </row>
    <row r="13" spans="1:6" ht="30.45" customHeight="1">
      <c r="A13" s="15"/>
      <c r="B13" s="15"/>
      <c r="C13" s="15"/>
      <c r="D13" s="15"/>
      <c r="E13" s="15"/>
      <c r="F13" s="15"/>
    </row>
    <row r="15" spans="1:6" ht="22.35" customHeight="1">
      <c r="A15" s="16" t="s">
        <v>149</v>
      </c>
      <c r="B15" s="16"/>
      <c r="C15" s="16"/>
      <c r="D15" s="16"/>
      <c r="E15" s="16"/>
      <c r="F15" s="16"/>
    </row>
    <row r="16" spans="1:6" ht="30.45" customHeight="1">
      <c r="A16" s="15" t="s">
        <v>227</v>
      </c>
      <c r="B16" s="15"/>
      <c r="C16" s="15"/>
      <c r="D16" s="15"/>
      <c r="E16" s="15"/>
      <c r="F16" s="15"/>
    </row>
    <row r="17" spans="1:6" ht="30.45" customHeight="1">
      <c r="A17" s="15"/>
      <c r="B17" s="15"/>
      <c r="C17" s="15"/>
      <c r="D17" s="15"/>
      <c r="E17" s="15"/>
      <c r="F17" s="15"/>
    </row>
    <row r="19" spans="1:6" ht="22.35" customHeight="1">
      <c r="A19" s="16" t="s">
        <v>150</v>
      </c>
      <c r="B19" s="16"/>
      <c r="C19" s="16"/>
      <c r="D19" s="16"/>
      <c r="E19" s="16"/>
      <c r="F19" s="16"/>
    </row>
    <row r="20" spans="1:6" ht="30.45" customHeight="1">
      <c r="A20" s="15" t="s">
        <v>228</v>
      </c>
      <c r="B20" s="15"/>
      <c r="C20" s="15"/>
      <c r="D20" s="15"/>
      <c r="E20" s="15"/>
      <c r="F20" s="15"/>
    </row>
    <row r="21" spans="1:6" ht="30.45" customHeight="1">
      <c r="A21" s="15"/>
      <c r="B21" s="15"/>
      <c r="C21" s="15"/>
      <c r="D21" s="15"/>
      <c r="E21" s="15"/>
      <c r="F21" s="15"/>
    </row>
    <row r="23" spans="1:6" ht="22.35" customHeight="1">
      <c r="A23" s="16" t="s">
        <v>151</v>
      </c>
      <c r="B23" s="16"/>
      <c r="C23" s="16"/>
      <c r="D23" s="16"/>
      <c r="E23" s="16"/>
      <c r="F23" s="16"/>
    </row>
    <row r="24" spans="1:6" ht="30.45" customHeight="1">
      <c r="A24" s="15" t="s">
        <v>229</v>
      </c>
      <c r="B24" s="15"/>
      <c r="C24" s="15"/>
      <c r="D24" s="15"/>
      <c r="E24" s="15"/>
      <c r="F24" s="15"/>
    </row>
    <row r="25" spans="1:6" ht="30.45" customHeight="1">
      <c r="A25" s="15"/>
      <c r="B25" s="15"/>
      <c r="C25" s="15"/>
      <c r="D25" s="15"/>
      <c r="E25" s="15"/>
      <c r="F25" s="15"/>
    </row>
  </sheetData>
  <mergeCells count="13">
    <mergeCell ref="A20:F21"/>
    <mergeCell ref="A23:F23"/>
    <mergeCell ref="A24:F25"/>
    <mergeCell ref="A11:F11"/>
    <mergeCell ref="A12:F13"/>
    <mergeCell ref="A15:F15"/>
    <mergeCell ref="A16:F17"/>
    <mergeCell ref="A19:F19"/>
    <mergeCell ref="A1:F1"/>
    <mergeCell ref="A3:F3"/>
    <mergeCell ref="A4:F5"/>
    <mergeCell ref="A7:F7"/>
    <mergeCell ref="A8:F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Design Progress</vt:lpstr>
      <vt:lpstr>Individual Contributions</vt:lpstr>
      <vt:lpstr>Design Source Links</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Boity</dc:creator>
  <cp:lastModifiedBy>Matshediso MN. Masimong</cp:lastModifiedBy>
  <dcterms:created xsi:type="dcterms:W3CDTF">2026-10-10T21:41:03Z</dcterms:created>
  <dcterms:modified xsi:type="dcterms:W3CDTF">2026-10-13T20:32:10Z</dcterms:modified>
</cp:coreProperties>
</file>